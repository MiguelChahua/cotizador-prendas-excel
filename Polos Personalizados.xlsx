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3067" documentId="13_ncr:1_{FFDE02DF-8CCB-439B-BE59-150E0B299486}" xr6:coauthVersionLast="47" xr6:coauthVersionMax="47" xr10:uidLastSave="{A9A1ADC4-DAF2-4D29-AEB5-C110FD6E131A}"/>
  <bookViews>
    <workbookView xWindow="0" yWindow="0" windowWidth="12036" windowHeight="7740" firstSheet="18" activeTab="18" xr2:uid="{00FA2F93-6D2E-4B78-BC1D-FE2A343F1E23}"/>
  </bookViews>
  <sheets>
    <sheet name="Cotizador" sheetId="10" r:id="rId1"/>
    <sheet name="Rango" sheetId="8" r:id="rId2"/>
    <sheet name="Talla-Prenda" sheetId="19" r:id="rId3"/>
    <sheet name="Tela-Color" sheetId="11" r:id="rId4"/>
    <sheet name="Estilo-Talla" sheetId="12" r:id="rId5"/>
    <sheet name="Tela-Prenda" sheetId="13" r:id="rId6"/>
    <sheet name="Precios-Polos" sheetId="9" r:id="rId7"/>
    <sheet name="Precio-Poleras" sheetId="14" r:id="rId8"/>
    <sheet name="Precio-Boxers" sheetId="16" r:id="rId9"/>
    <sheet name="Precio-Bodys" sheetId="15" r:id="rId10"/>
    <sheet name="Prenda" sheetId="1" r:id="rId11"/>
    <sheet name="Contexto" sheetId="2" r:id="rId12"/>
    <sheet name="Color" sheetId="5" r:id="rId13"/>
    <sheet name="Talla" sheetId="4" r:id="rId14"/>
    <sheet name="Tela" sheetId="3" r:id="rId15"/>
    <sheet name="Estilo" sheetId="6" r:id="rId16"/>
    <sheet name="Marca" sheetId="7" r:id="rId17"/>
    <sheet name="Aux" sheetId="17" r:id="rId18"/>
    <sheet name="Cotiz" sheetId="18" r:id="rId19"/>
    <sheet name="Pedidos" sheetId="21" r:id="rId20"/>
    <sheet name="Det. Ped." sheetId="20" r:id="rId21"/>
  </sheets>
  <externalReferences>
    <externalReference r:id="rId22"/>
  </externalReferences>
  <definedNames>
    <definedName name="Lista_Colores1">_xlfn.ANCHORARRAY(Aux!$D$4)</definedName>
    <definedName name="Lista_Colores10">_xlfn.ANCHORARRAY(Aux!$D$125)</definedName>
    <definedName name="Lista_Colores11">_xlfn.ANCHORARRAY(Aux!$D$138)</definedName>
    <definedName name="Lista_Colores12">_xlfn.ANCHORARRAY(Aux!$D$151)</definedName>
    <definedName name="Lista_Colores13">_xlfn.ANCHORARRAY(Aux!$D$164)</definedName>
    <definedName name="Lista_Colores14">_xlfn.ANCHORARRAY(Aux!$D$177)</definedName>
    <definedName name="Lista_Colores15">_xlfn.ANCHORARRAY(Aux!$D$190)</definedName>
    <definedName name="Lista_Colores16">_xlfn.ANCHORARRAY(Aux!$D$203)</definedName>
    <definedName name="Lista_Colores17">_xlfn.ANCHORARRAY(Aux!$D$216)</definedName>
    <definedName name="Lista_Colores18">_xlfn.ANCHORARRAY(Aux!$D$229)</definedName>
    <definedName name="Lista_Colores19">_xlfn.ANCHORARRAY(Aux!$D$242)</definedName>
    <definedName name="Lista_Colores2">_xlfn.ANCHORARRAY(Aux!$D$17)</definedName>
    <definedName name="Lista_Colores20">_xlfn.ANCHORARRAY(Aux!$D$255)</definedName>
    <definedName name="Lista_Colores3">_xlfn.ANCHORARRAY(Aux!$D$31)</definedName>
    <definedName name="Lista_Colores4">_xlfn.ANCHORARRAY(Aux!$D$45)</definedName>
    <definedName name="Lista_Colores5">_xlfn.ANCHORARRAY(Aux!$D$59)</definedName>
    <definedName name="Lista_Colores6">_xlfn.ANCHORARRAY(Aux!$D$72)</definedName>
    <definedName name="Lista_Colores7">_xlfn.ANCHORARRAY(Aux!$D$85)</definedName>
    <definedName name="Lista_Colores8">_xlfn.ANCHORARRAY(Aux!$D$98)</definedName>
    <definedName name="Lista_Colores9">_xlfn.ANCHORARRAY(Aux!$D$112)</definedName>
    <definedName name="Lista_Estilos1">_xlfn.ANCHORARRAY(Aux!$H$4)</definedName>
    <definedName name="Lista_Estilos10">_xlfn.ANCHORARRAY(Aux!$H$40)</definedName>
    <definedName name="Lista_Estilos11">_xlfn.ANCHORARRAY(Aux!$H$44)</definedName>
    <definedName name="Lista_Estilos12">_xlfn.ANCHORARRAY(Aux!$H$48)</definedName>
    <definedName name="Lista_Estilos13">_xlfn.ANCHORARRAY(Aux!$H$52)</definedName>
    <definedName name="Lista_Estilos14">_xlfn.ANCHORARRAY(Aux!$H$56)</definedName>
    <definedName name="Lista_Estilos15">_xlfn.ANCHORARRAY(Aux!$H$60)</definedName>
    <definedName name="Lista_Estilos16">_xlfn.ANCHORARRAY(Aux!$H$64)</definedName>
    <definedName name="Lista_Estilos17">_xlfn.ANCHORARRAY(Aux!$H$68)</definedName>
    <definedName name="Lista_Estilos18">_xlfn.ANCHORARRAY(Aux!$H$72)</definedName>
    <definedName name="Lista_Estilos19">_xlfn.ANCHORARRAY(Aux!$H$76)</definedName>
    <definedName name="Lista_Estilos2">_xlfn.ANCHORARRAY(Aux!$H$8)</definedName>
    <definedName name="Lista_Estilos20">_xlfn.ANCHORARRAY(Aux!$H$80)</definedName>
    <definedName name="Lista_Estilos3">_xlfn.ANCHORARRAY(Aux!$H$12)</definedName>
    <definedName name="Lista_Estilos4">_xlfn.ANCHORARRAY(Aux!$H$16)</definedName>
    <definedName name="Lista_Estilos5">_xlfn.ANCHORARRAY(Aux!$H$20)</definedName>
    <definedName name="Lista_Estilos6">_xlfn.ANCHORARRAY(Aux!$H$24)</definedName>
    <definedName name="Lista_Estilos7">_xlfn.ANCHORARRAY(Aux!$H$28)</definedName>
    <definedName name="Lista_Estilos8">_xlfn.ANCHORARRAY(Aux!$H$32)</definedName>
    <definedName name="Lista_Estilos9">_xlfn.ANCHORARRAY(Aux!$H$36)</definedName>
    <definedName name="Lista_Marca1">_xlfn.ANCHORARRAY(Aux!$F$4)</definedName>
    <definedName name="Lista_Marca10">_xlfn.ANCHORARRAY(Aux!$F$31)</definedName>
    <definedName name="Lista_Marca11">_xlfn.ANCHORARRAY(Aux!$F$34)</definedName>
    <definedName name="Lista_Marca12">_xlfn.ANCHORARRAY(Aux!$F$37)</definedName>
    <definedName name="Lista_Marca13">_xlfn.ANCHORARRAY(Aux!$F$40)</definedName>
    <definedName name="Lista_Marca14">_xlfn.ANCHORARRAY(Aux!$F$43)</definedName>
    <definedName name="Lista_Marca15">_xlfn.ANCHORARRAY(Aux!$F$46)</definedName>
    <definedName name="Lista_Marca16">_xlfn.ANCHORARRAY(Aux!$F$49)</definedName>
    <definedName name="Lista_Marca17">_xlfn.ANCHORARRAY(Aux!$F$52)</definedName>
    <definedName name="Lista_Marca18">_xlfn.ANCHORARRAY(Aux!$F$55)</definedName>
    <definedName name="Lista_Marca19">_xlfn.ANCHORARRAY(Aux!$F$58)</definedName>
    <definedName name="Lista_Marca2">_xlfn.ANCHORARRAY(Aux!$F$7)</definedName>
    <definedName name="Lista_Marca20">_xlfn.ANCHORARRAY(Aux!$F$61)</definedName>
    <definedName name="Lista_Marca3">_xlfn.ANCHORARRAY(Aux!$F$10)</definedName>
    <definedName name="Lista_Marca4">_xlfn.ANCHORARRAY(Aux!$F$13)</definedName>
    <definedName name="Lista_Marca5">_xlfn.ANCHORARRAY(Aux!$F$16)</definedName>
    <definedName name="Lista_Marca6">_xlfn.ANCHORARRAY(Aux!$F$19)</definedName>
    <definedName name="Lista_Marca7">_xlfn.ANCHORARRAY(Aux!$F$22)</definedName>
    <definedName name="Lista_Marca8">_xlfn.ANCHORARRAY(Aux!$F$25)</definedName>
    <definedName name="Lista_Marca9">_xlfn.ANCHORARRAY(Aux!$F$28)</definedName>
    <definedName name="Lista_Tallas1">_xlfn.ANCHORARRAY(Aux!$J$4)</definedName>
    <definedName name="Lista_Tallas10">_xlfn.ANCHORARRAY(Aux!$J$125)</definedName>
    <definedName name="Lista_Tallas11">_xlfn.ANCHORARRAY(Aux!$J$138)</definedName>
    <definedName name="Lista_Tallas12">_xlfn.ANCHORARRAY(Aux!$J$151)</definedName>
    <definedName name="Lista_Tallas13">_xlfn.ANCHORARRAY(Aux!$J$164)</definedName>
    <definedName name="Lista_Tallas14">_xlfn.ANCHORARRAY(Aux!$J$177)</definedName>
    <definedName name="Lista_Tallas15">_xlfn.ANCHORARRAY(Aux!$J$190)</definedName>
    <definedName name="Lista_Tallas16">_xlfn.ANCHORARRAY(Aux!$J$203)</definedName>
    <definedName name="Lista_Tallas17">_xlfn.ANCHORARRAY(Aux!$J$216)</definedName>
    <definedName name="Lista_Tallas18">_xlfn.ANCHORARRAY(Aux!$J$229)</definedName>
    <definedName name="Lista_Tallas19">_xlfn.ANCHORARRAY(Aux!$J$242)</definedName>
    <definedName name="Lista_Tallas2">_xlfn.ANCHORARRAY(Aux!$J$17)</definedName>
    <definedName name="Lista_Tallas20">_xlfn.ANCHORARRAY(Aux!$J$255)</definedName>
    <definedName name="Lista_Tallas3">_xlfn.ANCHORARRAY(Aux!$J$30)</definedName>
    <definedName name="Lista_Tallas4">_xlfn.ANCHORARRAY(Aux!$J$43)</definedName>
    <definedName name="Lista_Tallas5">_xlfn.ANCHORARRAY(Aux!$J$56)</definedName>
    <definedName name="Lista_Tallas6">_xlfn.ANCHORARRAY(Aux!$J$69)</definedName>
    <definedName name="Lista_Tallas7">_xlfn.ANCHORARRAY(Aux!$J$85)</definedName>
    <definedName name="Lista_Tallas8">_xlfn.ANCHORARRAY(Aux!$J$98)</definedName>
    <definedName name="Lista_Tallas9">_xlfn.ANCHORARRAY(Aux!$J$111)</definedName>
    <definedName name="Lista_Telas1">_xlfn.ANCHORARRAY(Aux!$B$4)</definedName>
    <definedName name="Lista_Telas10">_xlfn.ANCHORARRAY(Aux!$B$31)</definedName>
    <definedName name="Lista_Telas11">_xlfn.ANCHORARRAY(Aux!$B$34)</definedName>
    <definedName name="Lista_Telas12">_xlfn.ANCHORARRAY(Aux!$B$37)</definedName>
    <definedName name="Lista_Telas13">_xlfn.ANCHORARRAY(Aux!$B$40)</definedName>
    <definedName name="Lista_Telas14">_xlfn.ANCHORARRAY(Aux!$B$43)</definedName>
    <definedName name="Lista_Telas15">_xlfn.ANCHORARRAY(Aux!$B$46)</definedName>
    <definedName name="Lista_Telas16">_xlfn.ANCHORARRAY(Aux!$B$49)</definedName>
    <definedName name="Lista_Telas17">_xlfn.ANCHORARRAY(Aux!$B$52)</definedName>
    <definedName name="Lista_Telas18">_xlfn.ANCHORARRAY(Aux!$B$55)</definedName>
    <definedName name="Lista_Telas19">_xlfn.ANCHORARRAY(Aux!$B$58)</definedName>
    <definedName name="Lista_Telas2">_xlfn.ANCHORARRAY(Aux!$B$7)</definedName>
    <definedName name="Lista_Telas20">_xlfn.ANCHORARRAY(Aux!$B$61)</definedName>
    <definedName name="Lista_Telas3">_xlfn.ANCHORARRAY(Aux!$B$10)</definedName>
    <definedName name="Lista_Telas4">_xlfn.ANCHORARRAY(Aux!$B$13)</definedName>
    <definedName name="Lista_Telas5">_xlfn.ANCHORARRAY(Aux!$B$16)</definedName>
    <definedName name="Lista_Telas6">_xlfn.ANCHORARRAY(Aux!$B$19)</definedName>
    <definedName name="Lista_Telas7">_xlfn.ANCHORARRAY(Aux!$B$22)</definedName>
    <definedName name="Lista_Telas8">_xlfn.ANCHORARRAY(Aux!$B$25)</definedName>
    <definedName name="Lista_Telas9">_xlfn.ANCHORARRAY(Aux!$B$28)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8" l="1"/>
  <c r="Y8" i="18"/>
  <c r="V9" i="18"/>
  <c r="Y9" i="18"/>
  <c r="L8" i="18"/>
  <c r="M8" i="18"/>
  <c r="N8" i="18"/>
  <c r="O8" i="18"/>
  <c r="P8" i="18"/>
  <c r="Q8" i="18"/>
  <c r="R8" i="18"/>
  <c r="S8" i="18"/>
  <c r="W8" i="18" s="1" a="1"/>
  <c r="W8" i="18" s="1"/>
  <c r="Z8" i="18" s="1"/>
  <c r="L9" i="18"/>
  <c r="M9" i="18"/>
  <c r="N9" i="18"/>
  <c r="O9" i="18"/>
  <c r="P9" i="18"/>
  <c r="Q9" i="18"/>
  <c r="R9" i="18"/>
  <c r="S9" i="18"/>
  <c r="W9" i="18" s="1" a="1"/>
  <c r="W9" i="18" s="1"/>
  <c r="Z9" i="18" s="1"/>
  <c r="L10" i="18"/>
  <c r="M10" i="18"/>
  <c r="N10" i="18"/>
  <c r="O10" i="18"/>
  <c r="P10" i="18"/>
  <c r="Q10" i="18"/>
  <c r="R10" i="18"/>
  <c r="S10" i="18"/>
  <c r="L11" i="18"/>
  <c r="M11" i="18"/>
  <c r="N11" i="18"/>
  <c r="O11" i="18"/>
  <c r="P11" i="18"/>
  <c r="Q11" i="18"/>
  <c r="R11" i="18"/>
  <c r="S11" i="18"/>
  <c r="L12" i="18"/>
  <c r="M12" i="18"/>
  <c r="N12" i="18"/>
  <c r="O12" i="18"/>
  <c r="P12" i="18"/>
  <c r="Q12" i="18"/>
  <c r="R12" i="18"/>
  <c r="S12" i="18"/>
  <c r="L13" i="18"/>
  <c r="M13" i="18"/>
  <c r="N13" i="18"/>
  <c r="O13" i="18"/>
  <c r="P13" i="18"/>
  <c r="Q13" i="18"/>
  <c r="R13" i="18"/>
  <c r="S13" i="18"/>
  <c r="L14" i="18"/>
  <c r="M14" i="18"/>
  <c r="N14" i="18"/>
  <c r="O14" i="18"/>
  <c r="P14" i="18"/>
  <c r="Q14" i="18"/>
  <c r="R14" i="18"/>
  <c r="S14" i="18"/>
  <c r="L15" i="18"/>
  <c r="M15" i="18"/>
  <c r="N15" i="18"/>
  <c r="O15" i="18"/>
  <c r="P15" i="18"/>
  <c r="Q15" i="18"/>
  <c r="R15" i="18"/>
  <c r="S15" i="18"/>
  <c r="L16" i="18"/>
  <c r="M16" i="18"/>
  <c r="N16" i="18"/>
  <c r="O16" i="18"/>
  <c r="P16" i="18"/>
  <c r="Q16" i="18"/>
  <c r="R16" i="18"/>
  <c r="S16" i="18"/>
  <c r="L17" i="18"/>
  <c r="M17" i="18"/>
  <c r="N17" i="18"/>
  <c r="O17" i="18"/>
  <c r="P17" i="18"/>
  <c r="Q17" i="18"/>
  <c r="R17" i="18"/>
  <c r="S17" i="18"/>
  <c r="L18" i="18"/>
  <c r="M18" i="18"/>
  <c r="N18" i="18"/>
  <c r="O18" i="18"/>
  <c r="P18" i="18"/>
  <c r="Q18" i="18"/>
  <c r="R18" i="18"/>
  <c r="S18" i="18"/>
  <c r="L19" i="18"/>
  <c r="M19" i="18"/>
  <c r="N19" i="18"/>
  <c r="O19" i="18"/>
  <c r="P19" i="18"/>
  <c r="Q19" i="18"/>
  <c r="R19" i="18"/>
  <c r="S19" i="18"/>
  <c r="L20" i="18"/>
  <c r="M20" i="18"/>
  <c r="N20" i="18"/>
  <c r="O20" i="18"/>
  <c r="P20" i="18"/>
  <c r="Q20" i="18"/>
  <c r="R20" i="18"/>
  <c r="S20" i="18"/>
  <c r="L21" i="18"/>
  <c r="M21" i="18"/>
  <c r="N21" i="18"/>
  <c r="O21" i="18"/>
  <c r="P21" i="18"/>
  <c r="Q21" i="18"/>
  <c r="R21" i="18"/>
  <c r="S21" i="18"/>
  <c r="L22" i="18"/>
  <c r="M22" i="18"/>
  <c r="N22" i="18"/>
  <c r="O22" i="18"/>
  <c r="P22" i="18"/>
  <c r="Q22" i="18"/>
  <c r="R22" i="18"/>
  <c r="S22" i="18"/>
  <c r="L23" i="18"/>
  <c r="M23" i="18"/>
  <c r="N23" i="18"/>
  <c r="O23" i="18"/>
  <c r="P23" i="18"/>
  <c r="Q23" i="18"/>
  <c r="R23" i="18"/>
  <c r="S23" i="18"/>
  <c r="L24" i="18"/>
  <c r="M24" i="18"/>
  <c r="N24" i="18"/>
  <c r="O24" i="18"/>
  <c r="P24" i="18"/>
  <c r="Q24" i="18"/>
  <c r="R24" i="18"/>
  <c r="S24" i="18"/>
  <c r="L25" i="18"/>
  <c r="M25" i="18"/>
  <c r="N25" i="18"/>
  <c r="O25" i="18"/>
  <c r="P25" i="18"/>
  <c r="Q25" i="18"/>
  <c r="R25" i="18"/>
  <c r="S25" i="18"/>
  <c r="L26" i="18"/>
  <c r="M26" i="18"/>
  <c r="N26" i="18"/>
  <c r="O26" i="18"/>
  <c r="P26" i="18"/>
  <c r="Q26" i="18"/>
  <c r="R26" i="18"/>
  <c r="S26" i="18"/>
  <c r="J98" i="17" a="1"/>
  <c r="J98" i="17"/>
  <c r="J111" i="17" a="1"/>
  <c r="J111" i="17"/>
  <c r="J125" i="17" a="1"/>
  <c r="J125" i="17"/>
  <c r="J138" i="17" a="1"/>
  <c r="J138" i="17"/>
  <c r="J151" i="17" a="1"/>
  <c r="J151" i="17"/>
  <c r="J164" i="17" a="1"/>
  <c r="J164" i="17"/>
  <c r="J177" i="17" a="1"/>
  <c r="J177" i="17"/>
  <c r="J190" i="17" a="1"/>
  <c r="J190" i="17"/>
  <c r="J203" i="17" a="1"/>
  <c r="J203" i="17"/>
  <c r="J216" i="17" a="1"/>
  <c r="J216" i="17"/>
  <c r="J229" i="17" a="1"/>
  <c r="J229" i="17"/>
  <c r="J242" i="17" a="1"/>
  <c r="J242" i="17"/>
  <c r="J255" i="17" a="1"/>
  <c r="J255" i="17"/>
  <c r="J56" i="17" a="1"/>
  <c r="J56" i="17"/>
  <c r="H32" i="17" a="1"/>
  <c r="H32" i="17"/>
  <c r="H36" i="17" a="1"/>
  <c r="H36" i="17"/>
  <c r="H40" i="17" a="1"/>
  <c r="H40" i="17"/>
  <c r="H44" i="17" a="1"/>
  <c r="H44" i="17"/>
  <c r="H48" i="17" a="1"/>
  <c r="H48" i="17"/>
  <c r="H52" i="17" a="1"/>
  <c r="H52" i="17"/>
  <c r="H56" i="17" a="1"/>
  <c r="H56" i="17"/>
  <c r="H60" i="17" a="1"/>
  <c r="H60" i="17"/>
  <c r="H64" i="17" a="1"/>
  <c r="H64" i="17"/>
  <c r="H68" i="17" a="1"/>
  <c r="H68" i="17"/>
  <c r="H72" i="17" a="1"/>
  <c r="H72" i="17"/>
  <c r="H76" i="17" a="1"/>
  <c r="H76" i="17"/>
  <c r="H80" i="17" a="1"/>
  <c r="H80" i="17"/>
  <c r="F37" i="17" a="1"/>
  <c r="F37" i="17"/>
  <c r="F40" i="17" a="1"/>
  <c r="F40" i="17"/>
  <c r="F43" i="17" a="1"/>
  <c r="F43" i="17"/>
  <c r="F46" i="17" a="1"/>
  <c r="F46" i="17"/>
  <c r="F49" i="17" a="1"/>
  <c r="F49" i="17"/>
  <c r="F52" i="17" a="1"/>
  <c r="F52" i="17"/>
  <c r="F55" i="17" a="1"/>
  <c r="F55" i="17"/>
  <c r="F58" i="17" a="1"/>
  <c r="F58" i="17"/>
  <c r="F61" i="17" a="1"/>
  <c r="F61" i="17"/>
  <c r="D98" i="17" a="1"/>
  <c r="D98" i="17"/>
  <c r="D112" i="17" a="1"/>
  <c r="D112" i="17"/>
  <c r="D125" i="17" a="1"/>
  <c r="D125" i="17"/>
  <c r="D138" i="17" a="1"/>
  <c r="D138" i="17"/>
  <c r="D151" i="17" a="1"/>
  <c r="D151" i="17"/>
  <c r="D164" i="17" a="1"/>
  <c r="D164" i="17"/>
  <c r="D177" i="17" a="1"/>
  <c r="D177" i="17"/>
  <c r="D190" i="17" a="1"/>
  <c r="D190" i="17"/>
  <c r="D203" i="17" a="1"/>
  <c r="D203" i="17"/>
  <c r="D216" i="17" a="1"/>
  <c r="D216" i="17"/>
  <c r="D229" i="17" a="1"/>
  <c r="D229" i="17"/>
  <c r="D242" i="17" a="1"/>
  <c r="D242" i="17"/>
  <c r="D255" i="17" a="1"/>
  <c r="D255" i="17"/>
  <c r="D59" i="17" a="1"/>
  <c r="D59" i="17"/>
  <c r="B40" i="17" a="1"/>
  <c r="B40" i="17"/>
  <c r="B43" i="17" a="1"/>
  <c r="B43" i="17"/>
  <c r="B46" i="17" a="1"/>
  <c r="B46" i="17"/>
  <c r="B49" i="17" a="1"/>
  <c r="B49" i="17"/>
  <c r="B52" i="17" a="1"/>
  <c r="B52" i="17"/>
  <c r="B55" i="17" a="1"/>
  <c r="B55" i="17"/>
  <c r="B58" i="17" a="1"/>
  <c r="B58" i="17"/>
  <c r="B61" i="17" a="1"/>
  <c r="B61" i="17"/>
  <c r="F28" i="17" a="1"/>
  <c r="F28" i="17" s="1"/>
  <c r="F31" i="17" a="1"/>
  <c r="F31" i="17" s="1"/>
  <c r="F34" i="17" a="1"/>
  <c r="F34" i="17" s="1"/>
  <c r="B37" i="17" a="1"/>
  <c r="B37" i="17"/>
  <c r="B34" i="17" a="1"/>
  <c r="B34" i="17"/>
  <c r="B31" i="17" a="1"/>
  <c r="B31" i="17"/>
  <c r="B28" i="17" a="1"/>
  <c r="B28" i="17"/>
  <c r="D72" i="17" a="1"/>
  <c r="D72" i="17" s="1"/>
  <c r="D85" i="17" a="1"/>
  <c r="D85" i="17" s="1"/>
  <c r="R7" i="18"/>
  <c r="S7" i="18" s="1"/>
  <c r="I181" i="21"/>
  <c r="D17" i="17" a="1"/>
  <c r="D17" i="17" s="1"/>
  <c r="D31" i="17" a="1"/>
  <c r="D31" i="17" s="1"/>
  <c r="B13" i="17" a="1"/>
  <c r="B13" i="17" s="1"/>
  <c r="D45" i="17" a="1"/>
  <c r="D45" i="17" s="1"/>
  <c r="F16" i="17" a="1"/>
  <c r="F16" i="17" s="1"/>
  <c r="Y7" i="18"/>
  <c r="F21" i="10"/>
  <c r="Q7" i="18"/>
  <c r="P7" i="18"/>
  <c r="O7" i="18"/>
  <c r="N7" i="18"/>
  <c r="D4" i="17" s="1" a="1"/>
  <c r="D4" i="17" s="1"/>
  <c r="M7" i="18"/>
  <c r="L7" i="18"/>
  <c r="Q7" i="10"/>
  <c r="G5" i="10"/>
  <c r="G6" i="10"/>
  <c r="G8" i="10"/>
  <c r="G11" i="10"/>
  <c r="G12" i="10"/>
  <c r="G14" i="10"/>
  <c r="Q6" i="10"/>
  <c r="G16" i="10"/>
  <c r="J85" i="17" l="1" a="1"/>
  <c r="J85" i="17" s="1"/>
  <c r="J69" i="17" a="1"/>
  <c r="J69" i="17" s="1"/>
  <c r="H24" i="17" a="1"/>
  <c r="H24" i="17" s="1"/>
  <c r="F19" i="17" a="1"/>
  <c r="F19" i="17" s="1"/>
  <c r="B19" i="17" a="1"/>
  <c r="B19" i="17" s="1"/>
  <c r="B25" i="17" a="1"/>
  <c r="B25" i="17" s="1"/>
  <c r="F25" i="17" a="1"/>
  <c r="F25" i="17" s="1"/>
  <c r="B22" i="17" a="1"/>
  <c r="B22" i="17" s="1"/>
  <c r="H28" i="17" a="1"/>
  <c r="H28" i="17" s="1"/>
  <c r="F22" i="17" a="1"/>
  <c r="F22" i="17" s="1"/>
  <c r="J4" i="17" a="1"/>
  <c r="J4" i="17" s="1"/>
  <c r="B4" i="17" a="1"/>
  <c r="B4" i="17" s="1"/>
  <c r="J17" i="17" a="1"/>
  <c r="J17" i="17" s="1"/>
  <c r="F4" i="17" a="1"/>
  <c r="F4" i="17" s="1"/>
  <c r="W7" i="18" a="1"/>
  <c r="W7" i="18" s="1"/>
  <c r="Z7" i="18" s="1"/>
  <c r="B7" i="17" a="1"/>
  <c r="B7" i="17" s="1"/>
  <c r="F7" i="17" a="1"/>
  <c r="F7" i="17" s="1"/>
  <c r="H8" i="17" a="1"/>
  <c r="H8" i="17" s="1"/>
  <c r="F13" i="17" a="1"/>
  <c r="F13" i="17" s="1"/>
  <c r="J43" i="17" a="1"/>
  <c r="J43" i="17" s="1"/>
  <c r="H16" i="17" a="1"/>
  <c r="H16" i="17" s="1"/>
  <c r="B10" i="17" a="1"/>
  <c r="B10" i="17" s="1"/>
  <c r="F10" i="17" a="1"/>
  <c r="F10" i="17" s="1"/>
  <c r="J30" i="17" a="1"/>
  <c r="J30" i="17" s="1"/>
  <c r="H12" i="17" a="1"/>
  <c r="H12" i="17" s="1"/>
  <c r="B16" i="17" a="1"/>
  <c r="B16" i="17" s="1"/>
  <c r="H20" i="17" a="1"/>
  <c r="H20" i="17" s="1"/>
  <c r="V7" i="18"/>
  <c r="H4" i="17" a="1"/>
  <c r="H4" i="17" s="1"/>
  <c r="Z27" i="18"/>
  <c r="J8" i="10" a="1"/>
  <c r="J8" i="10" s="1"/>
  <c r="J11" i="10" a="1"/>
  <c r="J11" i="10" s="1"/>
  <c r="F17" i="10" s="1" a="1"/>
  <c r="F17" i="10" s="1"/>
  <c r="F18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<sst xmlns="http://schemas.openxmlformats.org/spreadsheetml/2006/main" count="4243" uniqueCount="502">
  <si>
    <t>Prenda</t>
  </si>
  <si>
    <t>Polo</t>
  </si>
  <si>
    <t>DESCRIPCIÓN DE PRODUCTO</t>
  </si>
  <si>
    <t>PRECIO U.</t>
  </si>
  <si>
    <t>CANTIDAD</t>
  </si>
  <si>
    <t>IMPORTE</t>
  </si>
  <si>
    <t>Contexto</t>
  </si>
  <si>
    <t>Navidad y Año Nuevo</t>
  </si>
  <si>
    <t>BOXER CALVIN KLEIN TALLA M</t>
  </si>
  <si>
    <t>POLERA DE FRANELA COLOR NEGRO ESTILO CAPUCHA + BOLSILLO TALLA T4</t>
  </si>
  <si>
    <t>Tela</t>
  </si>
  <si>
    <t>Alta calidad</t>
  </si>
  <si>
    <t>id_tela_prenda</t>
  </si>
  <si>
    <t>TOTAL</t>
  </si>
  <si>
    <t>Color</t>
  </si>
  <si>
    <t>Blanco</t>
  </si>
  <si>
    <t>Estilo</t>
  </si>
  <si>
    <t>No necesario</t>
  </si>
  <si>
    <t>id_estilo_talla</t>
  </si>
  <si>
    <t>Talla</t>
  </si>
  <si>
    <t>4 - 7 m</t>
  </si>
  <si>
    <t>Marca</t>
  </si>
  <si>
    <t>Cantidad</t>
  </si>
  <si>
    <t>Precio Unitario</t>
  </si>
  <si>
    <t>Total</t>
  </si>
  <si>
    <t>id_rango</t>
  </si>
  <si>
    <t>descripcion</t>
  </si>
  <si>
    <t>min</t>
  </si>
  <si>
    <t>max</t>
  </si>
  <si>
    <t>Unidad</t>
  </si>
  <si>
    <t>Media docena</t>
  </si>
  <si>
    <t>Docena o más</t>
  </si>
  <si>
    <t>id_talla_prenda</t>
  </si>
  <si>
    <t>id_talla</t>
  </si>
  <si>
    <t>id_prenda</t>
  </si>
  <si>
    <t>id_tela_color</t>
  </si>
  <si>
    <t>id_tela</t>
  </si>
  <si>
    <t>id_color</t>
  </si>
  <si>
    <t>id_estilo</t>
  </si>
  <si>
    <t>id_precio_polo</t>
  </si>
  <si>
    <t>id_contexto_precio</t>
  </si>
  <si>
    <t>precio</t>
  </si>
  <si>
    <t>id_precio_polera</t>
  </si>
  <si>
    <t>id_precio_boxer</t>
  </si>
  <si>
    <t>id_marca</t>
  </si>
  <si>
    <t>id_precio_body</t>
  </si>
  <si>
    <t>prenda</t>
  </si>
  <si>
    <t>Polera</t>
  </si>
  <si>
    <t>Body</t>
  </si>
  <si>
    <t>Boxer</t>
  </si>
  <si>
    <t>nombre_contexto</t>
  </si>
  <si>
    <t>tipo_contexto</t>
  </si>
  <si>
    <t>estado</t>
  </si>
  <si>
    <t>Precio General</t>
  </si>
  <si>
    <t>Base</t>
  </si>
  <si>
    <t>Activo</t>
  </si>
  <si>
    <t>Campaña</t>
  </si>
  <si>
    <t>Graduación</t>
  </si>
  <si>
    <t>Verano</t>
  </si>
  <si>
    <t>Planificado</t>
  </si>
  <si>
    <t>San Valentín</t>
  </si>
  <si>
    <t>Día de la Madre</t>
  </si>
  <si>
    <t>Histórico</t>
  </si>
  <si>
    <t>Día de la Educación Inicial</t>
  </si>
  <si>
    <t>Día del Padre</t>
  </si>
  <si>
    <t>color</t>
  </si>
  <si>
    <t>Amarillo</t>
  </si>
  <si>
    <t>Anaranjado</t>
  </si>
  <si>
    <t>Azul</t>
  </si>
  <si>
    <t>Celeste Bebé</t>
  </si>
  <si>
    <t>Fucsia</t>
  </si>
  <si>
    <t>Lila</t>
  </si>
  <si>
    <t>Negro</t>
  </si>
  <si>
    <t>Rojo</t>
  </si>
  <si>
    <t>Rosado</t>
  </si>
  <si>
    <t>Turqueza</t>
  </si>
  <si>
    <t>Verde</t>
  </si>
  <si>
    <t>Melange</t>
  </si>
  <si>
    <t>talla</t>
  </si>
  <si>
    <t>tipo</t>
  </si>
  <si>
    <t>T2</t>
  </si>
  <si>
    <t>Niño</t>
  </si>
  <si>
    <t>T4</t>
  </si>
  <si>
    <t>T6</t>
  </si>
  <si>
    <t>T8</t>
  </si>
  <si>
    <t>T10</t>
  </si>
  <si>
    <t>T12</t>
  </si>
  <si>
    <t>T14</t>
  </si>
  <si>
    <t>Adulto</t>
  </si>
  <si>
    <t>S</t>
  </si>
  <si>
    <t>M</t>
  </si>
  <si>
    <t>L</t>
  </si>
  <si>
    <t>XL</t>
  </si>
  <si>
    <t>XXL</t>
  </si>
  <si>
    <t>0 - 3 m</t>
  </si>
  <si>
    <t>Bebé</t>
  </si>
  <si>
    <t>8 - 11 m</t>
  </si>
  <si>
    <t>nombre_tela</t>
  </si>
  <si>
    <t>Calidad intermedia</t>
  </si>
  <si>
    <t>Franela</t>
  </si>
  <si>
    <t>Policoton</t>
  </si>
  <si>
    <t>nombre_estilo</t>
  </si>
  <si>
    <t>Recto</t>
  </si>
  <si>
    <t>Princesa</t>
  </si>
  <si>
    <t>Capucha + bolsillo</t>
  </si>
  <si>
    <t>Cuello redondo</t>
  </si>
  <si>
    <t>nombre_marca</t>
  </si>
  <si>
    <t>Boston</t>
  </si>
  <si>
    <t>Calvin Klein</t>
  </si>
  <si>
    <t>Lista_Telas#</t>
  </si>
  <si>
    <t>Lista_Colores#</t>
  </si>
  <si>
    <t>Lista_Marca#</t>
  </si>
  <si>
    <t>Lista_Estilos#</t>
  </si>
  <si>
    <t>Lista_Tallas#</t>
  </si>
  <si>
    <t>COTIZACIÓN</t>
  </si>
  <si>
    <t>Id_Prenda</t>
  </si>
  <si>
    <t>Id_Ctxto</t>
  </si>
  <si>
    <t>Id_Tela</t>
  </si>
  <si>
    <t>Id_Estilo</t>
  </si>
  <si>
    <t>Id_Talla</t>
  </si>
  <si>
    <t>Id_Marca</t>
  </si>
  <si>
    <t>T x Prendas</t>
  </si>
  <si>
    <t>Id_Rango</t>
  </si>
  <si>
    <t>Descripción de producto</t>
  </si>
  <si>
    <t>ADC. / DSCT.</t>
  </si>
  <si>
    <t>Importe</t>
  </si>
  <si>
    <t>ID</t>
  </si>
  <si>
    <t>Referencia Cliente</t>
  </si>
  <si>
    <t>Telefono</t>
  </si>
  <si>
    <t>Fecha de registro</t>
  </si>
  <si>
    <t>Destino</t>
  </si>
  <si>
    <t>Pago</t>
  </si>
  <si>
    <t>Debe</t>
  </si>
  <si>
    <t>Fecha de envío</t>
  </si>
  <si>
    <t>Diseño</t>
  </si>
  <si>
    <t>Comanda</t>
  </si>
  <si>
    <t>Canceló</t>
  </si>
  <si>
    <t>Video</t>
  </si>
  <si>
    <t>Guía - Delivery</t>
  </si>
  <si>
    <t>Enviado</t>
  </si>
  <si>
    <t>ANONIMO</t>
  </si>
  <si>
    <t>980 963 420</t>
  </si>
  <si>
    <t>DELIVERY</t>
  </si>
  <si>
    <t>918 385 078</t>
  </si>
  <si>
    <t>PROVINCIA</t>
  </si>
  <si>
    <t>995 429 177</t>
  </si>
  <si>
    <t>912 939 988</t>
  </si>
  <si>
    <t>940 529 281</t>
  </si>
  <si>
    <t>951 538 225</t>
  </si>
  <si>
    <t>959 583 783</t>
  </si>
  <si>
    <t>917 235 054</t>
  </si>
  <si>
    <t>999 902 915</t>
  </si>
  <si>
    <t>929 494 707</t>
  </si>
  <si>
    <t>921 897 237</t>
  </si>
  <si>
    <t>929 477 913</t>
  </si>
  <si>
    <t>978 430 461</t>
  </si>
  <si>
    <t>983 806 545</t>
  </si>
  <si>
    <t>986 475 756</t>
  </si>
  <si>
    <t>974 221 993</t>
  </si>
  <si>
    <t>955 827 527</t>
  </si>
  <si>
    <t>943 947 485</t>
  </si>
  <si>
    <t>926 707 381</t>
  </si>
  <si>
    <t>930 292 012</t>
  </si>
  <si>
    <t>940 193 532</t>
  </si>
  <si>
    <t>992 799 295</t>
  </si>
  <si>
    <t>ONLY YOU FREID</t>
  </si>
  <si>
    <t>970 298 577</t>
  </si>
  <si>
    <t>CUMPLE CORBATA</t>
  </si>
  <si>
    <t>993 381 136</t>
  </si>
  <si>
    <t>GRAD PRIMER DISTINTO</t>
  </si>
  <si>
    <t>TRI POLO Y BODY</t>
  </si>
  <si>
    <t>965 951 068</t>
  </si>
  <si>
    <t>37.5</t>
  </si>
  <si>
    <t>MISS ANTES SERÁ</t>
  </si>
  <si>
    <t>960 550 912</t>
  </si>
  <si>
    <t>MAESTRAS X6</t>
  </si>
  <si>
    <t>986 158 202</t>
  </si>
  <si>
    <t>PAPA NINFA</t>
  </si>
  <si>
    <t>912 409 112</t>
  </si>
  <si>
    <t>PLIM PLIM ROJO FAM</t>
  </si>
  <si>
    <t>998 962 622</t>
  </si>
  <si>
    <t>PAPA ZENON A3</t>
  </si>
  <si>
    <t>916 729 244</t>
  </si>
  <si>
    <t>RECOJO</t>
  </si>
  <si>
    <t>POCOYO SE CREE HABIL</t>
  </si>
  <si>
    <t>963 692 931</t>
  </si>
  <si>
    <t>LEONES PARTE 2</t>
  </si>
  <si>
    <t>959 059 773</t>
  </si>
  <si>
    <t>PAPA WEN</t>
  </si>
  <si>
    <t>935 824 464</t>
  </si>
  <si>
    <t>GRAD Y PAPÁ</t>
  </si>
  <si>
    <t>931 396 806</t>
  </si>
  <si>
    <t>PAPA TRI HUAYCAN</t>
  </si>
  <si>
    <t>925 546 481</t>
  </si>
  <si>
    <t>SHALOM-LIMA</t>
  </si>
  <si>
    <t>PAPA PUÑO ALAS</t>
  </si>
  <si>
    <t>965 300 158</t>
  </si>
  <si>
    <t>BOB ESPONJA</t>
  </si>
  <si>
    <t>947 658 094</t>
  </si>
  <si>
    <t>LA MEJOR MAMÁ</t>
  </si>
  <si>
    <t>964 877 388</t>
  </si>
  <si>
    <t>PAPA SEÑITO</t>
  </si>
  <si>
    <t>957 500 251</t>
  </si>
  <si>
    <t>PAPA LUNES URG</t>
  </si>
  <si>
    <t>958 267 334</t>
  </si>
  <si>
    <t>PAMELA ICA</t>
  </si>
  <si>
    <t>937 023 426</t>
  </si>
  <si>
    <t>ONLY LUNES</t>
  </si>
  <si>
    <t>945 852 040</t>
  </si>
  <si>
    <t>DORIS</t>
  </si>
  <si>
    <t>990 314 883</t>
  </si>
  <si>
    <t>PLIM PLIM 2 POLOS</t>
  </si>
  <si>
    <t>941 058 447</t>
  </si>
  <si>
    <t>DAD 1 POLO U</t>
  </si>
  <si>
    <t>997 975 997</t>
  </si>
  <si>
    <t>DAD TRI POLO</t>
  </si>
  <si>
    <t>979 795 643</t>
  </si>
  <si>
    <t>MARIA DE LOS ANG</t>
  </si>
  <si>
    <t>955 094 325</t>
  </si>
  <si>
    <t>PLIMPLIM ROSA</t>
  </si>
  <si>
    <t>978 632 900</t>
  </si>
  <si>
    <t>DAD NO STARS X2</t>
  </si>
  <si>
    <t>939 102 663</t>
  </si>
  <si>
    <t>DAD SJL OJALA</t>
  </si>
  <si>
    <t>996 870 571</t>
  </si>
  <si>
    <t>DAD ONLY 3</t>
  </si>
  <si>
    <t>936 990 105</t>
  </si>
  <si>
    <t>DAD ULTIMA PER</t>
  </si>
  <si>
    <t>937 368 403</t>
  </si>
  <si>
    <t>POLOS SONIC</t>
  </si>
  <si>
    <t>945 639 156</t>
  </si>
  <si>
    <t>GRAD MANGAS COLOR</t>
  </si>
  <si>
    <t>928 219 452</t>
  </si>
  <si>
    <t>CLIENTA MIGUEL</t>
  </si>
  <si>
    <t>MAESTRA AZUL X4</t>
  </si>
  <si>
    <t>988 291 379</t>
  </si>
  <si>
    <t>MAESTRA IQUITO</t>
  </si>
  <si>
    <t>994 565 672</t>
  </si>
  <si>
    <t>MAESTRA RUBY</t>
  </si>
  <si>
    <t>967 217 065</t>
  </si>
  <si>
    <t>MISS SOLEDAD</t>
  </si>
  <si>
    <t>969 214 747</t>
  </si>
  <si>
    <t>MISS CUTERVO</t>
  </si>
  <si>
    <t>903 110 483</t>
  </si>
  <si>
    <t>MISS ARELLIS PISCO</t>
  </si>
  <si>
    <t>953 294 189</t>
  </si>
  <si>
    <t>MISS ATALAYA</t>
  </si>
  <si>
    <t>979 498 477</t>
  </si>
  <si>
    <t>MISS BENDICION</t>
  </si>
  <si>
    <t>965 258 558</t>
  </si>
  <si>
    <t>MISS AMIGA NAYE</t>
  </si>
  <si>
    <t>962 609 095</t>
  </si>
  <si>
    <t>MISS INTERMEDIA</t>
  </si>
  <si>
    <t>984 191 395</t>
  </si>
  <si>
    <t>MISS PINKI</t>
  </si>
  <si>
    <t>954 860 225</t>
  </si>
  <si>
    <t>MISS MIRTHA</t>
  </si>
  <si>
    <t>960 347 690</t>
  </si>
  <si>
    <t>GRAD NAZARENO</t>
  </si>
  <si>
    <t>922 045 236</t>
  </si>
  <si>
    <t>MISS LU SILUETA</t>
  </si>
  <si>
    <t>947 450 360</t>
  </si>
  <si>
    <t>MISS 23 FUCSIAS</t>
  </si>
  <si>
    <t>989 197 037</t>
  </si>
  <si>
    <t>MISS TRI TURQUESA</t>
  </si>
  <si>
    <t>999 533 210</t>
  </si>
  <si>
    <t>MISS LADY VES</t>
  </si>
  <si>
    <t>969 433 358</t>
  </si>
  <si>
    <t>MISS TAMBOGRANDE</t>
  </si>
  <si>
    <t>920 830 677</t>
  </si>
  <si>
    <t>MISS MILKA OLVIDE</t>
  </si>
  <si>
    <t>925 447 261</t>
  </si>
  <si>
    <t>MISS MADRE DE DIOS</t>
  </si>
  <si>
    <t>974 591 207</t>
  </si>
  <si>
    <t>Miss Judith Mandil</t>
  </si>
  <si>
    <t>935 118 561</t>
  </si>
  <si>
    <t>LOF Yanira</t>
  </si>
  <si>
    <t>931 295 774</t>
  </si>
  <si>
    <t>MISS Tita Rosados</t>
  </si>
  <si>
    <t>964 811 554</t>
  </si>
  <si>
    <t>MISS OLMOS</t>
  </si>
  <si>
    <t>981 577 607</t>
  </si>
  <si>
    <t>MISS Chic@</t>
  </si>
  <si>
    <t>928 368 715</t>
  </si>
  <si>
    <t>MISS Gato Negro</t>
  </si>
  <si>
    <t>933 981 371</t>
  </si>
  <si>
    <t>EDU Llery Polo Blanco</t>
  </si>
  <si>
    <t>978 727 011</t>
  </si>
  <si>
    <t>GRAD AGUSTINO</t>
  </si>
  <si>
    <t>916 588 327</t>
  </si>
  <si>
    <t>PLIM PLIM PICHINAKI</t>
  </si>
  <si>
    <t>987 547 879</t>
  </si>
  <si>
    <t>MISS NERIDA</t>
  </si>
  <si>
    <t>973 076 229</t>
  </si>
  <si>
    <t>MISS WUEY</t>
  </si>
  <si>
    <t>927 207 906</t>
  </si>
  <si>
    <t>GRAD INTERMEDIA</t>
  </si>
  <si>
    <t>994 694 841</t>
  </si>
  <si>
    <t>ONLY CR7</t>
  </si>
  <si>
    <t>934 017 081</t>
  </si>
  <si>
    <t>MISS FUCSIAS URG</t>
  </si>
  <si>
    <t>966 588 417</t>
  </si>
  <si>
    <t>POLERA CUELLO</t>
  </si>
  <si>
    <t>914 672 358</t>
  </si>
  <si>
    <t>POLERA CAPUCHA</t>
  </si>
  <si>
    <t>942 732 463</t>
  </si>
  <si>
    <t>MISS EDU NOSE</t>
  </si>
  <si>
    <t>958 730 871</t>
  </si>
  <si>
    <t>MISS MARTES 5</t>
  </si>
  <si>
    <t>995 482 808</t>
  </si>
  <si>
    <t>MISS MULTICOLOR</t>
  </si>
  <si>
    <t>989 494 426</t>
  </si>
  <si>
    <t>MISS DOM NOCHE</t>
  </si>
  <si>
    <t>924 868 406</t>
  </si>
  <si>
    <t>MISS URG MARTES</t>
  </si>
  <si>
    <t>935 683 269</t>
  </si>
  <si>
    <t>MISS PIERINA</t>
  </si>
  <si>
    <t>901 648 298</t>
  </si>
  <si>
    <t>2 POLERA BLANCA</t>
  </si>
  <si>
    <t>983 150 758</t>
  </si>
  <si>
    <t>WINNY PLIM</t>
  </si>
  <si>
    <t>912 413 637</t>
  </si>
  <si>
    <t>MISS SAN MIGUEL</t>
  </si>
  <si>
    <t>977 103 380</t>
  </si>
  <si>
    <t>POLERA GLIBI</t>
  </si>
  <si>
    <t>947 492 072</t>
  </si>
  <si>
    <t>POLERA ROSA</t>
  </si>
  <si>
    <t>994 444 927</t>
  </si>
  <si>
    <t>MARIBEL NAM ESPALD</t>
  </si>
  <si>
    <t>992 944 446</t>
  </si>
  <si>
    <t>ESTIMADO MOTO</t>
  </si>
  <si>
    <t>973 336 258</t>
  </si>
  <si>
    <t>GRAD LILAS URG</t>
  </si>
  <si>
    <t>936 215 742</t>
  </si>
  <si>
    <t>PAPA MILAGRITOS X9</t>
  </si>
  <si>
    <t>932 841 753</t>
  </si>
  <si>
    <t>VITALIA CHIMBOTE</t>
  </si>
  <si>
    <t>946 237 726</t>
  </si>
  <si>
    <t>DAD MOM NERITA</t>
  </si>
  <si>
    <t>958 281 004</t>
  </si>
  <si>
    <t>DAD DAYLI XL FOTO</t>
  </si>
  <si>
    <t>922 811 540</t>
  </si>
  <si>
    <t>MISS ESTIMADO</t>
  </si>
  <si>
    <t>933 599 045</t>
  </si>
  <si>
    <t>MISS PATRICIA</t>
  </si>
  <si>
    <t>933 778 211</t>
  </si>
  <si>
    <t>ABEJITA CUMPLE</t>
  </si>
  <si>
    <t>936 141 250</t>
  </si>
  <si>
    <t>POLERA PERSONAL</t>
  </si>
  <si>
    <t>974 158 715</t>
  </si>
  <si>
    <t>MISS LILAS</t>
  </si>
  <si>
    <t>925 235 982</t>
  </si>
  <si>
    <t>PLIM PLIM DOS POLOS</t>
  </si>
  <si>
    <t>963 737 540</t>
  </si>
  <si>
    <t>MISS  POLERA ANA</t>
  </si>
  <si>
    <t>935 773 183</t>
  </si>
  <si>
    <t>DAD POR SU ESPOSO</t>
  </si>
  <si>
    <t>940 137 963</t>
  </si>
  <si>
    <t>DAD DINOSAURIO</t>
  </si>
  <si>
    <t>921 188 076</t>
  </si>
  <si>
    <t>DAD MIREYA BCP</t>
  </si>
  <si>
    <t>966 321 044</t>
  </si>
  <si>
    <t>MISS POLERA EDUCA</t>
  </si>
  <si>
    <t>970 093 256</t>
  </si>
  <si>
    <t>MISS DUO POLERA</t>
  </si>
  <si>
    <t>971 462 374</t>
  </si>
  <si>
    <t>MISS 2 POLERA BLAN</t>
  </si>
  <si>
    <t>936 461 915</t>
  </si>
  <si>
    <t>GRAD ARITA GIBLI</t>
  </si>
  <si>
    <t>DAD 1 POLO A NAA</t>
  </si>
  <si>
    <t>993 274 679</t>
  </si>
  <si>
    <t>GRAD ICA</t>
  </si>
  <si>
    <t>922 668 963</t>
  </si>
  <si>
    <t>MISS NAV PILAR 2</t>
  </si>
  <si>
    <t>976 283 769</t>
  </si>
  <si>
    <t>MISS OMAYRA</t>
  </si>
  <si>
    <t>922 157 406</t>
  </si>
  <si>
    <t>COLLAGE PAPITO</t>
  </si>
  <si>
    <t>945 294 498</t>
  </si>
  <si>
    <t>MISS URUBAMBA BLAN</t>
  </si>
  <si>
    <t>993 483 583</t>
  </si>
  <si>
    <t>MISS TRI HUANUCO</t>
  </si>
  <si>
    <t>916 662 413</t>
  </si>
  <si>
    <t>MISS TRI LILA HUAN</t>
  </si>
  <si>
    <t>982 086 347</t>
  </si>
  <si>
    <t>MISS PARTE DOS</t>
  </si>
  <si>
    <t>MISS TEMPRANO</t>
  </si>
  <si>
    <t>983 532 477</t>
  </si>
  <si>
    <t>MISS POLERA ROJA</t>
  </si>
  <si>
    <t>DAD JULIET APURADA</t>
  </si>
  <si>
    <t>990 811 876</t>
  </si>
  <si>
    <t>RAYDA MANOS</t>
  </si>
  <si>
    <t>925 444 631</t>
  </si>
  <si>
    <t>ONLY PELO MORADO</t>
  </si>
  <si>
    <t>927 469 938</t>
  </si>
  <si>
    <t>TRI BOXER</t>
  </si>
  <si>
    <t>976 913 369</t>
  </si>
  <si>
    <t>MISS CASI ULTIMA</t>
  </si>
  <si>
    <t>900 599 486</t>
  </si>
  <si>
    <t>POLERA DOBLE DISEÑO</t>
  </si>
  <si>
    <t>976 199 829</t>
  </si>
  <si>
    <t>DAD 30 POLOS</t>
  </si>
  <si>
    <t>913 434 623</t>
  </si>
  <si>
    <t>DAD 2 POLOS AZUL</t>
  </si>
  <si>
    <t>994 235 372</t>
  </si>
  <si>
    <t>ELEFANTE</t>
  </si>
  <si>
    <t>951 332 728</t>
  </si>
  <si>
    <t>MISS TRI OLVIDÓ</t>
  </si>
  <si>
    <t>953 942 704</t>
  </si>
  <si>
    <t>MISS 4 POLERAS YA</t>
  </si>
  <si>
    <t>972 169 812</t>
  </si>
  <si>
    <t>GRAD NINA</t>
  </si>
  <si>
    <t>994 240 853</t>
  </si>
  <si>
    <t>BODY CORAZON ROSA</t>
  </si>
  <si>
    <t>948 161 319</t>
  </si>
  <si>
    <t>MISS DOS POLERAS</t>
  </si>
  <si>
    <t>994 979 673</t>
  </si>
  <si>
    <t>DAD NO ESTRELLAS</t>
  </si>
  <si>
    <t>DAD FOTO ATRAS</t>
  </si>
  <si>
    <t>926 117 216</t>
  </si>
  <si>
    <t>GRAD NIÑO GRATIS</t>
  </si>
  <si>
    <t>944 682 010</t>
  </si>
  <si>
    <t>PLIM PLIM TRES</t>
  </si>
  <si>
    <t>970 783 947</t>
  </si>
  <si>
    <t>MISS TERNO</t>
  </si>
  <si>
    <t>908 580 886</t>
  </si>
  <si>
    <t>ROSITA GUISELLA</t>
  </si>
  <si>
    <t>973 263 855</t>
  </si>
  <si>
    <t>DAD 2 POLOS</t>
  </si>
  <si>
    <t>913 804 085</t>
  </si>
  <si>
    <t>DAD CHUPACA</t>
  </si>
  <si>
    <t>926 948 961</t>
  </si>
  <si>
    <t>DAD TRI AVENGER</t>
  </si>
  <si>
    <t>947 216 669</t>
  </si>
  <si>
    <t>GREGORIO SHARK</t>
  </si>
  <si>
    <t>933 058 799</t>
  </si>
  <si>
    <t>GRAD JEF</t>
  </si>
  <si>
    <t>942 150 829</t>
  </si>
  <si>
    <t>DAD OLMOS</t>
  </si>
  <si>
    <t>913 724 661</t>
  </si>
  <si>
    <t>GRAD SMP</t>
  </si>
  <si>
    <t>973 107 999</t>
  </si>
  <si>
    <t>GRAD ILO JUEVES</t>
  </si>
  <si>
    <t>953 956 208</t>
  </si>
  <si>
    <t>MISS HUAYCAN</t>
  </si>
  <si>
    <t>989 858 700</t>
  </si>
  <si>
    <t>DENTISTA  FRANS</t>
  </si>
  <si>
    <t>987 953 114</t>
  </si>
  <si>
    <t>GRAD LEONES X3</t>
  </si>
  <si>
    <t>941 918 576</t>
  </si>
  <si>
    <t>GRAD VARIACION</t>
  </si>
  <si>
    <t>975 607 063</t>
  </si>
  <si>
    <t>BOXER PUEBLO LIBRE</t>
  </si>
  <si>
    <t>958 795 186</t>
  </si>
  <si>
    <t>BODY AVION</t>
  </si>
  <si>
    <t>996 847 187</t>
  </si>
  <si>
    <t>DAD VILLA EL S</t>
  </si>
  <si>
    <t>931 896 318</t>
  </si>
  <si>
    <t>DAD CIENEGUILLA</t>
  </si>
  <si>
    <t>901 224 962</t>
  </si>
  <si>
    <t>DAD MARY A BLANCO</t>
  </si>
  <si>
    <t>904 385 188</t>
  </si>
  <si>
    <t>ONLY Y BOXER</t>
  </si>
  <si>
    <t>952 549 842</t>
  </si>
  <si>
    <t>MISS PERU VARIADO</t>
  </si>
  <si>
    <t>945 675 918</t>
  </si>
  <si>
    <t>MILAGRITOS</t>
  </si>
  <si>
    <t>GRAD NIÑOS Y PAPAS</t>
  </si>
  <si>
    <t>930 934 989</t>
  </si>
  <si>
    <t>NAYE</t>
  </si>
  <si>
    <t>959 609 095</t>
  </si>
  <si>
    <t>DAD MARY PROV LINA</t>
  </si>
  <si>
    <t>957 205 505</t>
  </si>
  <si>
    <t>GRAD X2</t>
  </si>
  <si>
    <t xml:space="preserve"> 948 509 571</t>
  </si>
  <si>
    <t>DAD ANDREA</t>
  </si>
  <si>
    <t>DAD AMIGO NAYE</t>
  </si>
  <si>
    <t>POLERA CINTIA VILLA</t>
  </si>
  <si>
    <t>940 165 581</t>
  </si>
  <si>
    <t>POLERA PERU TUMB</t>
  </si>
  <si>
    <t>950 452 761</t>
  </si>
  <si>
    <t>POLERA PERU FLOR</t>
  </si>
  <si>
    <t>920 565 412</t>
  </si>
  <si>
    <t>LOF GRAD CONTIA</t>
  </si>
  <si>
    <t>388 782 3722</t>
  </si>
  <si>
    <t>ONLY CATALINA</t>
  </si>
  <si>
    <t>993 614 724</t>
  </si>
  <si>
    <t>POLERA PERU MARVIN</t>
  </si>
  <si>
    <t>959 554 565</t>
  </si>
  <si>
    <t>id_pedido</t>
  </si>
  <si>
    <t>Alta Calidad</t>
  </si>
  <si>
    <t>Calidad Intermedia</t>
  </si>
  <si>
    <t>Maestras</t>
  </si>
  <si>
    <t>Precio Precio General</t>
  </si>
  <si>
    <t>Cumpleaños</t>
  </si>
  <si>
    <t>VERDE</t>
  </si>
  <si>
    <t>Only you</t>
  </si>
  <si>
    <t>Turquesa</t>
  </si>
  <si>
    <t>Only You</t>
  </si>
  <si>
    <t>Fiestas Patrias</t>
  </si>
  <si>
    <t>Azul Marino</t>
  </si>
  <si>
    <t>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</si>
</sst>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S/-280A]\ #,##0"/>
    <numFmt numFmtId="165" formatCode="[$-280A]dddd\,\ dd&quot; de &quot;mmmm&quot; de &quot;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Bahnschrift Condensed"/>
      <family val="2"/>
    </font>
    <font>
      <sz val="10"/>
      <color rgb="FF000000"/>
      <name val="Bahnschrift Condensed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Tahoma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Fill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0" xfId="0" applyFill="1" applyBorder="1"/>
    <xf numFmtId="0" fontId="0" fillId="5" borderId="13" xfId="0" applyFill="1" applyBorder="1"/>
    <xf numFmtId="0" fontId="0" fillId="5" borderId="4" xfId="0" applyFill="1" applyBorder="1"/>
    <xf numFmtId="0" fontId="0" fillId="5" borderId="14" xfId="0" applyFill="1" applyBorder="1"/>
    <xf numFmtId="0" fontId="0" fillId="5" borderId="15" xfId="0" applyFill="1" applyBorder="1"/>
    <xf numFmtId="0" fontId="7" fillId="0" borderId="0" xfId="0" applyFont="1" applyFill="1" applyBorder="1" applyAlignment="1"/>
    <xf numFmtId="0" fontId="6" fillId="0" borderId="0" xfId="1" applyFill="1" applyBorder="1" applyAlignment="1"/>
    <xf numFmtId="0" fontId="7" fillId="0" borderId="0" xfId="0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10" fillId="0" borderId="0" xfId="2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14" fontId="11" fillId="0" borderId="0" xfId="2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1"/>
    <xf numFmtId="164" fontId="0" fillId="0" borderId="16" xfId="0" applyNumberForma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top"/>
    </xf>
    <xf numFmtId="0" fontId="5" fillId="4" borderId="10" xfId="0" applyFont="1" applyFill="1" applyBorder="1" applyAlignment="1">
      <alignment horizontal="center" vertical="top"/>
    </xf>
    <xf numFmtId="0" fontId="5" fillId="4" borderId="11" xfId="0" applyFont="1" applyFill="1" applyBorder="1" applyAlignment="1">
      <alignment horizontal="center" vertical="top"/>
    </xf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5" xfId="0" applyFont="1" applyBorder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u val="none"/>
        <color auto="1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280A]dddd\,\ dd&quot; de &quot;mmmm&quot; de &quot;yy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NG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31C238-BD63-4E77-9ABD-D1888D835D86}" name="tb_rango_cantidad" displayName="tb_rango_cantidad" ref="A1:D4" totalsRowShown="0" headerRowDxfId="120" dataDxfId="119">
  <autoFilter ref="A1:D4" xr:uid="{A22CFE0B-E25B-453F-8BE8-3AF69B1FDAE0}"/>
  <tableColumns count="4">
    <tableColumn id="1" xr3:uid="{FF4E3CBC-F360-4C7B-A8E1-80434F5E61AA}" name="id_rango" dataDxfId="118"/>
    <tableColumn id="2" xr3:uid="{4C9EE758-60B8-4050-96EA-C889EFF19359}" name="descripcion" dataDxfId="117"/>
    <tableColumn id="3" xr3:uid="{CFB3FA9E-2DC6-4D89-A6B4-91FC52997A72}" name="min" dataDxfId="116"/>
    <tableColumn id="4" xr3:uid="{98BBE6FA-C73F-4A81-8D67-16D85E4C563E}" name="max" data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45804D-34C0-4C9A-9369-7DB81A716BB0}" name="tb_talla_prenda" displayName="tb_talla_prenda" ref="A1:C32" totalsRowShown="0" headerRowDxfId="114" dataDxfId="113">
  <autoFilter ref="A1:C32" xr:uid="{8145804D-34C0-4C9A-9369-7DB81A716BB0}"/>
  <tableColumns count="3">
    <tableColumn id="1" xr3:uid="{376EA6BB-F3A4-4709-A67E-4794E88E5D1F}" name="id_talla_prenda" dataDxfId="112"/>
    <tableColumn id="2" xr3:uid="{B8FA3AA6-5AA7-4739-B5CF-EC73675EFC61}" name="id_talla" dataDxfId="111"/>
    <tableColumn id="3" xr3:uid="{7FCBC2E1-6E1C-4D3A-970B-EDBFADD1EA6E}" name="id_prenda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E578AD-420F-4318-8534-76061D748870}" name="tb_tela_color" displayName="tb_tela_color" ref="A1:C25" totalsRowShown="0" headerRowDxfId="109" dataDxfId="108">
  <autoFilter ref="A1:C25" xr:uid="{FF307AA6-607A-458D-A7A6-54FBB8F767B3}"/>
  <tableColumns count="3">
    <tableColumn id="1" xr3:uid="{4023BF9D-CBF0-4DDB-8BE7-FB4FF7C7FA13}" name="id_tela_color" dataDxfId="107"/>
    <tableColumn id="2" xr3:uid="{055B7AB4-1EBB-4332-9C8A-62E12521342B}" name="id_tela" dataDxfId="106"/>
    <tableColumn id="3" xr3:uid="{921B18B6-2163-4DFB-9E1F-AB1D7D3AEAAF}" name="id_color" dataDxfId="1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98A513-7337-47DF-A6F9-E44B7C05B9B0}" name="tb_estilo_talla" displayName="tb_estilo_talla" ref="A1:D41" totalsRowShown="0" headerRowDxfId="104" dataDxfId="103">
  <autoFilter ref="A1:D41" xr:uid="{A96E1205-A763-4240-8A18-EA7D983DE364}"/>
  <tableColumns count="4">
    <tableColumn id="1" xr3:uid="{886A32AE-013D-4D51-8D68-C190AAA51611}" name="id_estilo_talla" dataDxfId="102"/>
    <tableColumn id="2" xr3:uid="{2165FE51-C57E-4859-ADCE-3346DA438F65}" name="id_estilo" dataDxfId="101"/>
    <tableColumn id="3" xr3:uid="{B82EB2F5-3BA3-4100-A266-9268B0FA8061}" name="id_talla" dataDxfId="100"/>
    <tableColumn id="4" xr3:uid="{B2DB0157-4545-4CF7-9DEE-5E029ADF8854}" name="id_prenda" dataDxfId="9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793B59-5A5A-4A14-A4CA-3E2E4164C1D0}" name="tb_tela_prenda" displayName="tb_tela_prenda" ref="A1:C6" totalsRowShown="0" headerRowDxfId="98" dataDxfId="97">
  <autoFilter ref="A1:C6" xr:uid="{C672D655-38F4-4D00-AE9A-E96C0ED68829}"/>
  <tableColumns count="3">
    <tableColumn id="1" xr3:uid="{659B51AD-8948-4506-96FF-3FE0ACDB598E}" name="id_tela_prenda" dataDxfId="96"/>
    <tableColumn id="2" xr3:uid="{93FFE1EC-E748-42AF-B367-78BDBE0B08CD}" name="id_tela" dataDxfId="95"/>
    <tableColumn id="3" xr3:uid="{E9121D3F-E77B-445F-B62E-73F42274C593}" name="id_prenda" dataDxfId="9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1376B8-182B-410B-A913-0C4479865904}" name="tb_precio_polos" displayName="tb_precio_polos" ref="A1:F217" totalsRowShown="0" headerRowDxfId="93" dataDxfId="92">
  <autoFilter ref="A1:F217" xr:uid="{4F7646AE-8CE1-4BBB-8EF5-B34E41152A79}"/>
  <tableColumns count="6">
    <tableColumn id="1" xr3:uid="{DBCE05A5-B261-4214-BFD9-0F50374B82E4}" name="id_precio_polo" dataDxfId="91"/>
    <tableColumn id="2" xr3:uid="{A9F614DC-514F-49C3-913D-3A25B4E41923}" name="id_contexto_precio" dataDxfId="90"/>
    <tableColumn id="3" xr3:uid="{AAC01C6B-AB45-42F7-9FD8-201C0CD73BDB}" name="id_tela" dataDxfId="89"/>
    <tableColumn id="4" xr3:uid="{C0D97106-E280-4FBE-8995-8E3DB5C590D8}" name="id_talla" dataDxfId="88"/>
    <tableColumn id="5" xr3:uid="{96B376EF-EFE7-4DAF-B1C3-C42727CCE86F}" name="id_rango" dataDxfId="87"/>
    <tableColumn id="6" xr3:uid="{AD855014-096E-4CFF-B9CE-E5BD61302B03}" name="precio" dataDxfId="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AAD247A-A215-4C1C-A227-CC4EBDF757FA}" name="tb_precio_poleras" displayName="tb_precio_poleras" ref="A1:G289" totalsRowShown="0" headerRowDxfId="85" dataDxfId="84">
  <autoFilter ref="A1:G289" xr:uid="{65A2B7E1-8079-406C-B70D-296C3A882E39}"/>
  <tableColumns count="7">
    <tableColumn id="1" xr3:uid="{CFBF6A55-3CC3-4A15-804C-0898F3E2E5B3}" name="id_precio_polera" dataDxfId="83"/>
    <tableColumn id="2" xr3:uid="{BA2080EC-FBE3-4E6E-838B-8A612FBC06B8}" name="id_contexto_precio" dataDxfId="82"/>
    <tableColumn id="3" xr3:uid="{078414FB-A57B-4591-A485-4D52BD0D7B5E}" name="id_tela" dataDxfId="81"/>
    <tableColumn id="7" xr3:uid="{36279D2C-40A1-412B-8C07-BF48A4C3A079}" name="id_estilo" dataDxfId="80"/>
    <tableColumn id="4" xr3:uid="{1F2A0EEE-31BD-47A1-8517-67577A5FC559}" name="id_talla" dataDxfId="79"/>
    <tableColumn id="5" xr3:uid="{7F248CD1-9E3F-4C3C-B5D8-18A3AFF3BB4C}" name="id_rango" dataDxfId="78"/>
    <tableColumn id="6" xr3:uid="{905F212C-38FF-42D7-8412-F4CFD019E89D}" name="precio" dataDxfId="7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19FAD6-9643-4689-ABC5-B2CD28498057}" name="tb_precio_boxer" displayName="tb_precio_boxer" ref="A1:E17" totalsRowShown="0" headerRowDxfId="76" dataDxfId="75">
  <autoFilter ref="A1:E17" xr:uid="{B7AF2D46-5D2F-4B5D-B168-432CF66D2D5D}"/>
  <tableColumns count="5">
    <tableColumn id="1" xr3:uid="{E7720DF3-F28C-46F7-8E59-3B6B8639B3CA}" name="id_precio_boxer" dataDxfId="74"/>
    <tableColumn id="2" xr3:uid="{40BA5F6C-E32B-4BC2-9904-53B357516689}" name="id_contexto_precio" dataDxfId="73"/>
    <tableColumn id="3" xr3:uid="{A6B8C1BB-E0F3-4867-8F1C-968B28E8BC8A}" name="id_marca" dataDxfId="72"/>
    <tableColumn id="4" xr3:uid="{8AAAB2CD-7B8D-4315-AB6D-C3B0ECDCED47}" name="id_talla" dataDxfId="71"/>
    <tableColumn id="5" xr3:uid="{8DE7A004-6AFE-4DE2-9FD9-A04C314B91F2}" name="precio" dataDxfId="7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4972257-543B-4BA0-9648-F09D796DB148}" name="tb_precio_body" displayName="tb_precio_body" ref="A1:E19" totalsRowShown="0" dataDxfId="69">
  <autoFilter ref="A1:E19" xr:uid="{4220A74B-6A81-4444-A821-0534D6DE58F9}"/>
  <tableColumns count="5">
    <tableColumn id="1" xr3:uid="{299E8C65-9B7F-42D7-BF34-025191CBDCBE}" name="id_precio_body" dataDxfId="68"/>
    <tableColumn id="2" xr3:uid="{27F2114B-CDCE-4213-94C8-94072B55A48A}" name="id_contexto_precio" dataDxfId="67"/>
    <tableColumn id="3" xr3:uid="{4CED5719-9759-4330-A2B3-C51598359221}" name="id_talla" dataDxfId="66"/>
    <tableColumn id="4" xr3:uid="{56CAD185-113B-441D-8227-90038D0A7719}" name="id_rango" dataDxfId="65"/>
    <tableColumn id="5" xr3:uid="{89BFAF21-83B7-4F1C-B6A0-4584A6D0E942}" name="precio" dataDxfId="6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1C91E-1E07-4E32-9DED-028D4C73A102}" name="tb_prenda" displayName="tb_prenda" ref="A1:B5" totalsRowShown="0" headerRowDxfId="63" dataDxfId="62">
  <autoFilter ref="A1:B5" xr:uid="{35DDD417-D63C-478C-A46D-4B77AF09866E}"/>
  <tableColumns count="2">
    <tableColumn id="1" xr3:uid="{ABC63A16-7E8E-4187-866A-249452D9AC2A}" name="id_prenda" dataDxfId="61"/>
    <tableColumn id="2" xr3:uid="{467F947B-5E7A-4531-B830-03E193E0A2AA}" name="prenda" dataDxfId="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B2A29-7F8B-4C82-8CFE-002D2EBC2F0B}" name="tb_contexto_precio" displayName="tb_contexto_precio" ref="A1:D9" totalsRowShown="0" headerRowDxfId="59" dataDxfId="58">
  <autoFilter ref="A1:D9" xr:uid="{0FBB7D8D-C383-4504-92C1-5EFBA3C62EA4}"/>
  <tableColumns count="4">
    <tableColumn id="1" xr3:uid="{6B0AF682-EFB5-4BEA-9DB5-069CD1AE6FAA}" name="id_contexto_precio" dataDxfId="57"/>
    <tableColumn id="2" xr3:uid="{ED8EC1B7-2684-48AA-83FD-24AA5009C78F}" name="nombre_contexto" dataDxfId="56"/>
    <tableColumn id="3" xr3:uid="{87F14F5C-E70B-4C8E-AABD-D3BCE534203A}" name="tipo_contexto" dataDxfId="55"/>
    <tableColumn id="4" xr3:uid="{D5EB329A-0300-45D7-BC38-A46AFA871D39}" name="estado" dataDxfId="5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82E977-D195-46A3-B1AC-B68698D877A4}" name="tb_color" displayName="tb_color" ref="A1:B14" totalsRowShown="0" headerRowDxfId="53" dataDxfId="52">
  <autoFilter ref="A1:B14" xr:uid="{39D1DE1B-EB95-4FB2-A3B8-73EC6F16F8F9}"/>
  <tableColumns count="2">
    <tableColumn id="1" xr3:uid="{75952CA8-F973-4B0F-92BA-1D76FB15415C}" name="id_color" dataDxfId="51"/>
    <tableColumn id="2" xr3:uid="{5ED990B6-DDC3-4AD1-B529-7DFB4A8160CE}" name="color" dataDxfId="5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352889-11E2-4A79-BC5A-D5248B63E55A}" name="tb_talla" displayName="tb_talla" ref="A1:C16" totalsRowShown="0" headerRowDxfId="49">
  <autoFilter ref="A1:C16" xr:uid="{688BD4CF-824C-4B75-8D5F-30EDE40DB96D}"/>
  <tableColumns count="3">
    <tableColumn id="1" xr3:uid="{9707A671-F5E4-4E20-95D9-DF697105D234}" name="id_talla" dataDxfId="48"/>
    <tableColumn id="2" xr3:uid="{9C51B7FD-A8F2-4BDB-B240-7527ABBFE9E4}" name="talla" dataDxfId="47"/>
    <tableColumn id="3" xr3:uid="{A75E9884-A4D4-4F52-A942-FB17AD23F033}" name="tipo" dataDxfId="4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DF266-D671-4CE9-A411-590EB535693D}" name="tb_tela" displayName="tb_tela" ref="A1:B5" totalsRowShown="0" headerRowDxfId="45" dataDxfId="44">
  <autoFilter ref="A1:B5" xr:uid="{7E84B26E-EF4F-49AD-B786-839276885CD2}"/>
  <tableColumns count="2">
    <tableColumn id="1" xr3:uid="{1CA204D9-2C4E-4A92-AD2D-31AB9CF1D08E}" name="id_tela" dataDxfId="43"/>
    <tableColumn id="2" xr3:uid="{62FD231D-96B1-4A05-A59A-CF9E83EBA327}" name="nombre_tela" dataDxfId="4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FED4CD-433C-4C2E-8CEC-3AC0F5DE4987}" name="tb_estilo" displayName="tb_estilo" ref="A1:C6" totalsRowShown="0" headerRowDxfId="41" dataDxfId="40">
  <autoFilter ref="A1:C6" xr:uid="{E175C27F-C470-473E-93B4-91A77979DA45}"/>
  <tableColumns count="3">
    <tableColumn id="1" xr3:uid="{1556A9BE-F8DB-4DC1-8A12-5AA9A1900A11}" name="id_estilo" dataDxfId="39"/>
    <tableColumn id="2" xr3:uid="{32EEBB10-57E5-4E6A-A9F1-D1412D687F69}" name="nombre_estilo" dataDxfId="38"/>
    <tableColumn id="3" xr3:uid="{62408421-03E6-44A8-8225-440A6098DE5E}" name="id_prenda" dataDxfId="3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3B70A4-60BB-4427-BB4E-8C25EFE8F64B}" name="tb_marca" displayName="tb_marca" ref="A1:C3" totalsRowShown="0" headerRowDxfId="36" dataDxfId="35">
  <autoFilter ref="A1:C3" xr:uid="{DEB92831-0C88-4E0D-8882-4D11E84EA59B}"/>
  <tableColumns count="3">
    <tableColumn id="1" xr3:uid="{001F5E8E-BFBA-4A6D-8583-8143BCD6EDCE}" name="id_marca" dataDxfId="34"/>
    <tableColumn id="2" xr3:uid="{E3D5748B-57D3-47F1-81EF-58DAAB59EE89}" name="nombre_marca" dataDxfId="33"/>
    <tableColumn id="3" xr3:uid="{A71A36AD-74A7-47F0-BA1D-5B1D6B655824}" name="id_prenda" dataDxfId="3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941AF25-8E95-46EE-A278-D457B3E49EAC}" name="tb_pedido" displayName="tb_pedido" ref="B2:P189" totalsRowShown="0" headerRowDxfId="31" dataDxfId="30" headerRowBorderDxfId="28" tableBorderDxfId="29">
  <autoFilter ref="B2:P189" xr:uid="{8941AF25-8E95-46EE-A278-D457B3E49EAC}"/>
  <tableColumns count="15">
    <tableColumn id="1" xr3:uid="{E9388037-FA61-4BE6-B9B2-B8345FC03850}" name="ID" dataDxfId="27"/>
    <tableColumn id="9" xr3:uid="{132E9151-8F76-4BAC-8400-7D3A4BCD3FB5}" name="Referencia Cliente" dataDxfId="26"/>
    <tableColumn id="2" xr3:uid="{05E6FCB9-0245-4813-963F-6FD7A5EDD861}" name="Telefono" dataDxfId="25"/>
    <tableColumn id="14" xr3:uid="{DDC780DD-5414-4D45-A259-0785A364A31A}" name="Fecha de registro" dataDxfId="24"/>
    <tableColumn id="5" xr3:uid="{D0818071-9DE7-4325-9D9A-883262AD42FE}" name="Destino" dataDxfId="23" dataCellStyle="Hipervínculo"/>
    <tableColumn id="6" xr3:uid="{9A0CA1CE-CFCD-49CD-90A4-B484D8BCA8C8}" name="Total" dataDxfId="22"/>
    <tableColumn id="7" xr3:uid="{CA09BC31-A245-48DD-9ACB-E9AF52440DC3}" name="Pago" dataDxfId="21"/>
    <tableColumn id="8" xr3:uid="{E4419938-A7F4-4A0B-BCAF-814C2E56E56A}" name="Debe" dataDxfId="20"/>
    <tableColumn id="4" xr3:uid="{80956DC0-E9F9-46C9-8B7E-EF3560DFEA55}" name="Fecha de envío" dataDxfId="19" dataCellStyle="Hipervínculo"/>
    <tableColumn id="15" xr3:uid="{0AC71C67-A856-4F29-97B6-F3CB1E32291B}" name="Diseño" dataDxfId="18"/>
    <tableColumn id="10" xr3:uid="{395FB704-2E33-439E-AA87-4AAA1687EBFC}" name="Comanda" dataDxfId="17"/>
    <tableColumn id="11" xr3:uid="{33E586A3-C172-4267-B0E2-C2D241100A61}" name="Canceló" dataDxfId="16"/>
    <tableColumn id="12" xr3:uid="{CB30E8E7-02E9-4F65-A0CD-F88EBAEFFDE9}" name="Video" dataDxfId="15"/>
    <tableColumn id="13" xr3:uid="{80E8B532-0035-4172-A9AB-26DBF928F327}" name="Guía - Delivery" dataDxfId="14"/>
    <tableColumn id="3" xr3:uid="{4216AB15-2880-49AC-9D0A-4FF219E51E1E}" name="Enviado" dataDxfId="1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170F78E-57E0-4625-B31D-71E20B3A63E8}" name="tb_detalle_pedido" displayName="tb_detalle_pedido" ref="B1:J576" totalsRowShown="0" headerRowDxfId="12" dataDxfId="11" headerRowBorderDxfId="9" tableBorderDxfId="10">
  <autoFilter ref="B1:J576" xr:uid="{9170F78E-57E0-4625-B31D-71E20B3A63E8}"/>
  <tableColumns count="9">
    <tableColumn id="1" xr3:uid="{53AB2E41-511A-4B20-852B-02FB64323150}" name="id_pedido" dataDxfId="8"/>
    <tableColumn id="2" xr3:uid="{E78DC6C6-EB59-49C1-85DC-9B279D76F2C5}" name="Prenda" dataDxfId="7"/>
    <tableColumn id="3" xr3:uid="{8C82A525-E294-48DF-BA6F-024EA72DDA91}" name="Contexto" dataDxfId="6"/>
    <tableColumn id="4" xr3:uid="{3901C071-B6C4-44F4-A5D6-EEE86C50274C}" name="Tela" dataDxfId="5"/>
    <tableColumn id="5" xr3:uid="{C7E80072-C493-4436-9D07-35E0C9973DD9}" name="Color" dataDxfId="4"/>
    <tableColumn id="6" xr3:uid="{E0CA4508-A265-464A-B54F-266BAA2DBA15}" name="Estilo" dataDxfId="3"/>
    <tableColumn id="7" xr3:uid="{3AAD5EAA-B535-40B2-8BFE-5505478E668A}" name="Talla" dataDxfId="2"/>
    <tableColumn id="9" xr3:uid="{B8EA3EF5-04C9-4223-A77D-4F3AFAF21017}" name="Marca" dataDxfId="1"/>
    <tableColumn id="8" xr3:uid="{724E032A-3689-4BB7-8E81-5165A1657E30}" name="Cant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CDD4-9BF9-4A21-801D-34CEF756DE21}">
  <sheetPr>
    <tabColor rgb="FFFFC000"/>
  </sheetPr>
  <dimension ref="E5:Q24"/>
  <sheetViews>
    <sheetView workbookViewId="0">
      <selection activeCell="F21" sqref="F21"/>
    </sheetView>
  </sheetViews>
  <sheetFormatPr defaultColWidth="11.42578125" defaultRowHeight="15"/>
  <cols>
    <col min="5" max="5" width="15.28515625" style="2" customWidth="1"/>
    <col min="6" max="6" width="29" style="2" customWidth="1"/>
    <col min="7" max="7" width="16.42578125" style="2" customWidth="1"/>
    <col min="8" max="8" width="11.42578125" customWidth="1"/>
    <col min="9" max="9" width="14.140625" style="2" customWidth="1"/>
    <col min="10" max="10" width="8.28515625" style="2" customWidth="1"/>
    <col min="14" max="14" width="64.7109375" bestFit="1" customWidth="1"/>
    <col min="15" max="15" width="13.42578125" customWidth="1"/>
    <col min="16" max="16" width="13.5703125" customWidth="1"/>
    <col min="17" max="17" width="11.28515625" customWidth="1"/>
  </cols>
  <sheetData>
    <row r="5" spans="5:17">
      <c r="E5" s="15" t="s">
        <v>0</v>
      </c>
      <c r="F5" s="7" t="s">
        <v>1</v>
      </c>
      <c r="G5" s="2">
        <f>_xlfn.XLOOKUP(F5,tb_prenda[prenda],tb_prenda[id_prenda],"No encontrado")</f>
        <v>1</v>
      </c>
      <c r="N5" s="12" t="s">
        <v>2</v>
      </c>
      <c r="O5" s="11" t="s">
        <v>3</v>
      </c>
      <c r="P5" s="11" t="s">
        <v>4</v>
      </c>
      <c r="Q5" s="11" t="s">
        <v>5</v>
      </c>
    </row>
    <row r="6" spans="5:17">
      <c r="E6" s="15" t="s">
        <v>6</v>
      </c>
      <c r="F6" s="7" t="s">
        <v>7</v>
      </c>
      <c r="G6" s="2">
        <f>_xlfn.XLOOKUP(F6,tb_contexto_precio[nombre_contexto],tb_contexto_precio[id_contexto_precio],"No encontrado")</f>
        <v>2</v>
      </c>
      <c r="N6" s="13" t="s">
        <v>8</v>
      </c>
      <c r="O6" s="14">
        <v>18</v>
      </c>
      <c r="P6" s="14">
        <v>2</v>
      </c>
      <c r="Q6" s="14">
        <f>O6*P6</f>
        <v>36</v>
      </c>
    </row>
    <row r="7" spans="5:17">
      <c r="E7" s="8"/>
      <c r="N7" s="14" t="s">
        <v>9</v>
      </c>
      <c r="O7" s="14">
        <v>40</v>
      </c>
      <c r="P7" s="14">
        <v>12</v>
      </c>
      <c r="Q7" s="14">
        <f>O7*P7</f>
        <v>480</v>
      </c>
    </row>
    <row r="8" spans="5:17">
      <c r="E8" s="15" t="s">
        <v>10</v>
      </c>
      <c r="F8" s="7" t="s">
        <v>11</v>
      </c>
      <c r="G8" s="2">
        <f>_xlfn.XLOOKUP(F8,tb_tela[nombre_tela],tb_tela[id_tela],"No encontrado")</f>
        <v>1</v>
      </c>
      <c r="I8" s="2" t="s">
        <v>12</v>
      </c>
      <c r="J8" s="2" cm="1">
        <f t="array" ref="J8">_xlfn.XLOOKUP(1,(tb_tela_prenda[id_prenda]=G5)*(tb_tela_prenda[id_tela]=G8),tb_tela_prenda[id_tela_prenda])</f>
        <v>1</v>
      </c>
      <c r="N8" s="14"/>
      <c r="O8" s="14"/>
      <c r="P8" s="14" t="s">
        <v>13</v>
      </c>
      <c r="Q8" s="14"/>
    </row>
    <row r="9" spans="5:17">
      <c r="E9" s="15" t="s">
        <v>14</v>
      </c>
      <c r="F9" s="7" t="s">
        <v>15</v>
      </c>
      <c r="N9" s="14"/>
      <c r="O9" s="14"/>
      <c r="P9" s="14"/>
      <c r="Q9" s="14"/>
    </row>
    <row r="10" spans="5:17">
      <c r="E10" s="8"/>
      <c r="N10" s="14"/>
      <c r="O10" s="14"/>
      <c r="P10" s="14"/>
      <c r="Q10" s="14"/>
    </row>
    <row r="11" spans="5:17">
      <c r="E11" s="15" t="s">
        <v>16</v>
      </c>
      <c r="F11" s="7" t="s">
        <v>17</v>
      </c>
      <c r="G11" s="2" t="str">
        <f>_xlfn.XLOOKUP(F11,tb_estilo[nombre_estilo],tb_estilo[id_estilo],"No encontrado")</f>
        <v>No encontrado</v>
      </c>
      <c r="I11" s="2" t="s">
        <v>18</v>
      </c>
      <c r="J11" s="2" t="e" cm="1">
        <f t="array" ref="J11">_xlfn.XLOOKUP(1,(tb_estilo_talla[id_estilo]=G11)*(tb_estilo_talla[id_talla]=G12),tb_estilo_talla[id_estilo_talla])</f>
        <v>#N/A</v>
      </c>
      <c r="N11" s="14"/>
      <c r="O11" s="14"/>
      <c r="P11" s="14"/>
      <c r="Q11" s="14"/>
    </row>
    <row r="12" spans="5:17">
      <c r="E12" s="15" t="s">
        <v>19</v>
      </c>
      <c r="F12" s="7" t="s">
        <v>20</v>
      </c>
      <c r="G12" s="2">
        <f>_xlfn.XLOOKUP(F12,tb_talla[talla],tb_talla[id_talla],"No encontrado")</f>
        <v>14</v>
      </c>
      <c r="N12" s="14"/>
      <c r="O12" s="14"/>
      <c r="P12" s="14"/>
      <c r="Q12" s="14"/>
    </row>
    <row r="13" spans="5:17">
      <c r="E13" s="8"/>
      <c r="N13" s="14"/>
      <c r="O13" s="14"/>
      <c r="P13" s="14"/>
      <c r="Q13" s="14"/>
    </row>
    <row r="14" spans="5:17">
      <c r="E14" s="15" t="s">
        <v>21</v>
      </c>
      <c r="F14" s="7" t="s">
        <v>17</v>
      </c>
      <c r="G14" s="2" t="str">
        <f>_xlfn.XLOOKUP(F14,tb_marca[nombre_marca],tb_marca[id_marca],"No encontrado")</f>
        <v>No encontrado</v>
      </c>
      <c r="N14" s="14"/>
      <c r="O14" s="14"/>
      <c r="P14" s="14"/>
      <c r="Q14" s="14"/>
    </row>
    <row r="15" spans="5:17">
      <c r="E15" s="8"/>
      <c r="N15" s="14"/>
      <c r="O15" s="14"/>
      <c r="P15" s="14"/>
      <c r="Q15" s="14"/>
    </row>
    <row r="16" spans="5:17">
      <c r="E16" s="16" t="s">
        <v>22</v>
      </c>
      <c r="F16" s="7">
        <v>1</v>
      </c>
      <c r="G16" s="2">
        <f>_xlfn.XLOOKUP(F16,tb_rango_cantidad[min],tb_rango_cantidad[id_rango],,-1)</f>
        <v>1</v>
      </c>
      <c r="N16" s="14"/>
      <c r="O16" s="14"/>
      <c r="P16" s="14"/>
      <c r="Q16" s="14"/>
    </row>
    <row r="17" spans="5:17">
      <c r="E17" s="15" t="s">
        <v>23</v>
      </c>
      <c r="F17" s="9" t="e" cm="1">
        <f t="array" ref="F17">IF(G5=1,
    _xlfn.XLOOKUP(1,
      (tb_precio_polos[id_contexto_precio]=G6)*
      (tb_precio_polos[id_tela]=J8)*
      (tb_precio_polos[id_talla]=G12)*
      (tb_precio_polos[id_rango]=G16),
      tb_precio_polos[precio]
    ),
IF(G5=2,
    _xlfn.XLOOKUP(1,
      (tb_precio_poleras[id_contexto_precio]=G6)*
      (tb_precio_poleras[id_tela]=J8)*
      (tb_precio_poleras[id_talla]=J11)*
      (tb_precio_poleras[id_rango]=G16),
      tb_precio_poleras[precio]
    ),
IF(G5=3,
    _xlfn.XLOOKUP(1,
      (tb_precio_body[id_contexto_precio]=G6)*
      (tb_precio_body[id_talla]=G12)*
      (tb_precio_body[id_rango]=G16),
      tb_precio_body[precio]
    ),
IF(G5=4,
    _xlfn.XLOOKUP(1,
      (tb_precio_boxer[id_contexto_precio]=G6)*
      (tb_precio_boxer[id_marca]=G14)*
      (tb_precio_boxer[id_talla]=G12),
      tb_precio_boxer[precio]
    ),
""
))))</f>
        <v>#N/A</v>
      </c>
      <c r="N17" s="14"/>
      <c r="O17" s="14"/>
      <c r="P17" s="14"/>
      <c r="Q17" s="14"/>
    </row>
    <row r="18" spans="5:17">
      <c r="E18" s="17" t="s">
        <v>24</v>
      </c>
      <c r="F18" s="7" t="e">
        <f>F16*F17</f>
        <v>#N/A</v>
      </c>
      <c r="N18" s="14"/>
      <c r="O18" s="14"/>
      <c r="P18" s="14"/>
      <c r="Q18" s="14"/>
    </row>
    <row r="19" spans="5:17">
      <c r="N19" s="14"/>
      <c r="O19" s="14"/>
      <c r="P19" s="14"/>
      <c r="Q19" s="14"/>
    </row>
    <row r="20" spans="5:17">
      <c r="O20" s="14"/>
      <c r="P20" s="14"/>
      <c r="Q20" s="14"/>
    </row>
    <row r="21" spans="5:17">
      <c r="F21" s="10" t="str">
        <f>UPPER(IF(G5=1,F5&amp;" de "&amp;F8&amp;" "&amp;F9&amp; " corte "&amp;F11&amp;" "&amp;F12,IF(G5=2,F5&amp;" de "&amp;F8&amp;" "&amp;F9&amp; " de "&amp;F11&amp;" "&amp;F12,IF(G5=3,F5&amp;" "&amp;F12,IF(G5=4,F5&amp;" "&amp;F14&amp;" "&amp;F12," ")))))</f>
        <v>POLO DE ALTA CALIDAD BLANCO CORTE NO NECESARIO 4 - 7 M</v>
      </c>
      <c r="O21" s="14"/>
      <c r="P21" s="14"/>
      <c r="Q21" s="14"/>
    </row>
    <row r="22" spans="5:17">
      <c r="I22" s="22"/>
      <c r="O22" s="14"/>
      <c r="P22" s="14"/>
      <c r="Q22" s="14"/>
    </row>
    <row r="23" spans="5:17">
      <c r="O23" s="14"/>
      <c r="P23" s="14"/>
      <c r="Q23" s="14"/>
    </row>
    <row r="24" spans="5:17">
      <c r="O24" s="14"/>
      <c r="P24" s="14"/>
      <c r="Q24" s="14"/>
    </row>
  </sheetData>
  <dataValidations count="7">
    <dataValidation type="list" allowBlank="1" showInputMessage="1" showErrorMessage="1" sqref="F5" xr:uid="{43D3EFB6-C2E7-48EE-9B8F-64E0B188F826}">
      <formula1>INDIRECT("tb_prenda[prenda]")</formula1>
    </dataValidation>
    <dataValidation type="list" allowBlank="1" showInputMessage="1" showErrorMessage="1" sqref="F6" xr:uid="{22018DD6-95A6-46CA-88D3-126B24A7618A}">
      <formula1>INDIRECT("tb_contexto_precio[nombre_contexto]")</formula1>
    </dataValidation>
    <dataValidation type="list" allowBlank="1" showInputMessage="1" showErrorMessage="1" sqref="F8" xr:uid="{D7E582D7-9D84-47D8-BA01-C4BBBF84744F}">
      <formula1>Lista_Telas</formula1>
    </dataValidation>
    <dataValidation type="list" allowBlank="1" showInputMessage="1" showErrorMessage="1" sqref="F12" xr:uid="{87E01441-36DA-42E0-86A5-2A5383C4B55C}">
      <formula1>Lista_Tallas</formula1>
    </dataValidation>
    <dataValidation type="list" allowBlank="1" showInputMessage="1" showErrorMessage="1" sqref="F9" xr:uid="{2DBF5960-D62D-49CA-977A-3988A06ADF8E}">
      <formula1>Lista_Colores</formula1>
    </dataValidation>
    <dataValidation type="list" allowBlank="1" showInputMessage="1" showErrorMessage="1" sqref="F14" xr:uid="{5533615A-155C-4C1E-B104-A63BAE335B3E}">
      <formula1>Lista_Marca</formula1>
    </dataValidation>
    <dataValidation type="list" allowBlank="1" showInputMessage="1" showErrorMessage="1" sqref="F11" xr:uid="{D07C63C1-04F5-494D-8504-9CB737C8AD2D}">
      <formula1>Lista_Estilos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2CB0-A4B1-4072-B8C0-0A0C0E0DD8DF}">
  <dimension ref="A1:D4"/>
  <sheetViews>
    <sheetView workbookViewId="0">
      <selection activeCell="C2" sqref="C2"/>
    </sheetView>
  </sheetViews>
  <sheetFormatPr defaultColWidth="11.42578125" defaultRowHeight="14.45"/>
  <cols>
    <col min="2" max="2" width="18.28515625" customWidth="1"/>
  </cols>
  <sheetData>
    <row r="1" spans="1:4">
      <c r="A1" s="3" t="s">
        <v>25</v>
      </c>
      <c r="B1" s="3" t="s">
        <v>26</v>
      </c>
      <c r="C1" s="3" t="s">
        <v>27</v>
      </c>
      <c r="D1" s="3" t="s">
        <v>28</v>
      </c>
    </row>
    <row r="2" spans="1:4">
      <c r="A2" s="3">
        <v>1</v>
      </c>
      <c r="B2" s="3" t="s">
        <v>29</v>
      </c>
      <c r="C2" s="3">
        <v>1</v>
      </c>
      <c r="D2" s="3">
        <v>5</v>
      </c>
    </row>
    <row r="3" spans="1:4">
      <c r="A3" s="3">
        <v>2</v>
      </c>
      <c r="B3" s="3" t="s">
        <v>30</v>
      </c>
      <c r="C3" s="3">
        <v>6</v>
      </c>
      <c r="D3" s="3">
        <v>11</v>
      </c>
    </row>
    <row r="4" spans="1:4">
      <c r="A4" s="3">
        <v>3</v>
      </c>
      <c r="B4" s="3" t="s">
        <v>31</v>
      </c>
      <c r="C4" s="3">
        <v>12</v>
      </c>
      <c r="D4" s="3">
        <v>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0E58-8D20-43E2-8ED4-9E2FF68EEEC5}">
  <dimension ref="A1:C32"/>
  <sheetViews>
    <sheetView workbookViewId="0">
      <selection activeCell="C29" sqref="C29:C32"/>
    </sheetView>
  </sheetViews>
  <sheetFormatPr defaultRowHeight="15"/>
  <cols>
    <col min="1" max="1" width="17.140625" bestFit="1" customWidth="1"/>
    <col min="2" max="2" width="9.85546875" bestFit="1" customWidth="1"/>
    <col min="3" max="3" width="12.285156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1">
        <v>1</v>
      </c>
      <c r="B2" s="1">
        <v>1</v>
      </c>
      <c r="C2" s="1">
        <v>1</v>
      </c>
    </row>
    <row r="3" spans="1:3">
      <c r="A3" s="1">
        <v>2</v>
      </c>
      <c r="B3" s="1">
        <v>2</v>
      </c>
      <c r="C3" s="1">
        <v>1</v>
      </c>
    </row>
    <row r="4" spans="1:3">
      <c r="A4" s="1">
        <v>3</v>
      </c>
      <c r="B4" s="1">
        <v>3</v>
      </c>
      <c r="C4" s="1">
        <v>1</v>
      </c>
    </row>
    <row r="5" spans="1:3">
      <c r="A5" s="1">
        <v>4</v>
      </c>
      <c r="B5" s="1">
        <v>4</v>
      </c>
      <c r="C5" s="1">
        <v>1</v>
      </c>
    </row>
    <row r="6" spans="1:3">
      <c r="A6" s="1">
        <v>5</v>
      </c>
      <c r="B6" s="1">
        <v>5</v>
      </c>
      <c r="C6" s="1">
        <v>1</v>
      </c>
    </row>
    <row r="7" spans="1:3">
      <c r="A7" s="1">
        <v>6</v>
      </c>
      <c r="B7" s="1">
        <v>6</v>
      </c>
      <c r="C7" s="1">
        <v>1</v>
      </c>
    </row>
    <row r="8" spans="1:3">
      <c r="A8" s="1">
        <v>7</v>
      </c>
      <c r="B8" s="1">
        <v>7</v>
      </c>
      <c r="C8" s="1">
        <v>1</v>
      </c>
    </row>
    <row r="9" spans="1:3">
      <c r="A9" s="1">
        <v>8</v>
      </c>
      <c r="B9" s="1">
        <v>8</v>
      </c>
      <c r="C9" s="1">
        <v>1</v>
      </c>
    </row>
    <row r="10" spans="1:3">
      <c r="A10" s="1">
        <v>9</v>
      </c>
      <c r="B10" s="1">
        <v>9</v>
      </c>
      <c r="C10" s="1">
        <v>1</v>
      </c>
    </row>
    <row r="11" spans="1:3">
      <c r="A11" s="1">
        <v>10</v>
      </c>
      <c r="B11" s="1">
        <v>10</v>
      </c>
      <c r="C11" s="1">
        <v>1</v>
      </c>
    </row>
    <row r="12" spans="1:3">
      <c r="A12" s="1">
        <v>11</v>
      </c>
      <c r="B12" s="1">
        <v>11</v>
      </c>
      <c r="C12" s="1">
        <v>1</v>
      </c>
    </row>
    <row r="13" spans="1:3">
      <c r="A13" s="1">
        <v>12</v>
      </c>
      <c r="B13" s="1">
        <v>12</v>
      </c>
      <c r="C13" s="1">
        <v>1</v>
      </c>
    </row>
    <row r="14" spans="1:3">
      <c r="A14" s="1">
        <v>13</v>
      </c>
      <c r="B14" s="1">
        <v>1</v>
      </c>
      <c r="C14" s="1">
        <v>2</v>
      </c>
    </row>
    <row r="15" spans="1:3">
      <c r="A15" s="1">
        <v>14</v>
      </c>
      <c r="B15" s="1">
        <v>2</v>
      </c>
      <c r="C15" s="1">
        <v>2</v>
      </c>
    </row>
    <row r="16" spans="1:3">
      <c r="A16" s="1">
        <v>15</v>
      </c>
      <c r="B16" s="1">
        <v>3</v>
      </c>
      <c r="C16" s="1">
        <v>2</v>
      </c>
    </row>
    <row r="17" spans="1:3">
      <c r="A17" s="1">
        <v>16</v>
      </c>
      <c r="B17" s="1">
        <v>4</v>
      </c>
      <c r="C17" s="1">
        <v>2</v>
      </c>
    </row>
    <row r="18" spans="1:3">
      <c r="A18" s="1">
        <v>17</v>
      </c>
      <c r="B18" s="1">
        <v>5</v>
      </c>
      <c r="C18" s="1">
        <v>2</v>
      </c>
    </row>
    <row r="19" spans="1:3">
      <c r="A19" s="1">
        <v>18</v>
      </c>
      <c r="B19" s="1">
        <v>6</v>
      </c>
      <c r="C19" s="1">
        <v>2</v>
      </c>
    </row>
    <row r="20" spans="1:3">
      <c r="A20" s="1">
        <v>19</v>
      </c>
      <c r="B20" s="1">
        <v>7</v>
      </c>
      <c r="C20" s="1">
        <v>2</v>
      </c>
    </row>
    <row r="21" spans="1:3">
      <c r="A21" s="1">
        <v>20</v>
      </c>
      <c r="B21" s="1">
        <v>8</v>
      </c>
      <c r="C21" s="1">
        <v>2</v>
      </c>
    </row>
    <row r="22" spans="1:3">
      <c r="A22" s="1">
        <v>21</v>
      </c>
      <c r="B22" s="1">
        <v>9</v>
      </c>
      <c r="C22" s="1">
        <v>2</v>
      </c>
    </row>
    <row r="23" spans="1:3">
      <c r="A23" s="1">
        <v>22</v>
      </c>
      <c r="B23" s="1">
        <v>10</v>
      </c>
      <c r="C23" s="1">
        <v>2</v>
      </c>
    </row>
    <row r="24" spans="1:3">
      <c r="A24" s="1">
        <v>23</v>
      </c>
      <c r="B24" s="1">
        <v>11</v>
      </c>
      <c r="C24" s="1">
        <v>2</v>
      </c>
    </row>
    <row r="25" spans="1:3">
      <c r="A25" s="1">
        <v>24</v>
      </c>
      <c r="B25" s="1">
        <v>12</v>
      </c>
      <c r="C25" s="1">
        <v>2</v>
      </c>
    </row>
    <row r="26" spans="1:3">
      <c r="A26" s="1">
        <v>25</v>
      </c>
      <c r="B26" s="1">
        <v>13</v>
      </c>
      <c r="C26" s="1">
        <v>3</v>
      </c>
    </row>
    <row r="27" spans="1:3">
      <c r="A27" s="1">
        <v>26</v>
      </c>
      <c r="B27" s="1">
        <v>14</v>
      </c>
      <c r="C27" s="1">
        <v>3</v>
      </c>
    </row>
    <row r="28" spans="1:3">
      <c r="A28" s="1">
        <v>27</v>
      </c>
      <c r="B28" s="1">
        <v>15</v>
      </c>
      <c r="C28" s="1">
        <v>3</v>
      </c>
    </row>
    <row r="29" spans="1:3">
      <c r="A29" s="1">
        <v>28</v>
      </c>
      <c r="B29" s="1">
        <v>8</v>
      </c>
      <c r="C29" s="1">
        <v>4</v>
      </c>
    </row>
    <row r="30" spans="1:3">
      <c r="A30" s="1">
        <v>29</v>
      </c>
      <c r="B30" s="1">
        <v>9</v>
      </c>
      <c r="C30" s="1">
        <v>4</v>
      </c>
    </row>
    <row r="31" spans="1:3">
      <c r="A31" s="1">
        <v>30</v>
      </c>
      <c r="B31" s="1">
        <v>10</v>
      </c>
      <c r="C31" s="1">
        <v>4</v>
      </c>
    </row>
    <row r="32" spans="1:3">
      <c r="A32" s="1">
        <v>31</v>
      </c>
      <c r="B32" s="1">
        <v>11</v>
      </c>
      <c r="C32" s="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2E6-E9B8-43A3-B6D3-5BBDFE098F11}">
  <dimension ref="A1:C25"/>
  <sheetViews>
    <sheetView workbookViewId="0">
      <selection activeCell="C2" sqref="C2"/>
    </sheetView>
  </sheetViews>
  <sheetFormatPr defaultColWidth="11.42578125" defaultRowHeight="14.45"/>
  <cols>
    <col min="1" max="1" width="13.7109375" customWidth="1"/>
  </cols>
  <sheetData>
    <row r="1" spans="1:3">
      <c r="A1" s="2" t="s">
        <v>35</v>
      </c>
      <c r="B1" s="2" t="s">
        <v>36</v>
      </c>
      <c r="C1" s="2" t="s">
        <v>37</v>
      </c>
    </row>
    <row r="2" spans="1:3">
      <c r="A2" s="2">
        <v>1</v>
      </c>
      <c r="B2" s="2">
        <v>1</v>
      </c>
      <c r="C2" s="2">
        <v>1</v>
      </c>
    </row>
    <row r="3" spans="1:3">
      <c r="A3" s="2">
        <v>2</v>
      </c>
      <c r="B3" s="2">
        <v>1</v>
      </c>
      <c r="C3" s="2">
        <v>2</v>
      </c>
    </row>
    <row r="4" spans="1:3">
      <c r="A4" s="2">
        <v>3</v>
      </c>
      <c r="B4" s="2">
        <v>1</v>
      </c>
      <c r="C4" s="2">
        <v>3</v>
      </c>
    </row>
    <row r="5" spans="1:3">
      <c r="A5" s="2">
        <v>4</v>
      </c>
      <c r="B5" s="2">
        <v>1</v>
      </c>
      <c r="C5" s="2">
        <v>4</v>
      </c>
    </row>
    <row r="6" spans="1:3">
      <c r="A6" s="2">
        <v>5</v>
      </c>
      <c r="B6" s="2">
        <v>1</v>
      </c>
      <c r="C6" s="2">
        <v>5</v>
      </c>
    </row>
    <row r="7" spans="1:3">
      <c r="A7" s="2">
        <v>6</v>
      </c>
      <c r="B7" s="2">
        <v>1</v>
      </c>
      <c r="C7" s="2">
        <v>6</v>
      </c>
    </row>
    <row r="8" spans="1:3">
      <c r="A8" s="2">
        <v>7</v>
      </c>
      <c r="B8" s="2">
        <v>1</v>
      </c>
      <c r="C8" s="2">
        <v>7</v>
      </c>
    </row>
    <row r="9" spans="1:3">
      <c r="A9" s="2">
        <v>8</v>
      </c>
      <c r="B9" s="2">
        <v>1</v>
      </c>
      <c r="C9" s="2">
        <v>8</v>
      </c>
    </row>
    <row r="10" spans="1:3">
      <c r="A10" s="2">
        <v>9</v>
      </c>
      <c r="B10" s="2">
        <v>1</v>
      </c>
      <c r="C10" s="2">
        <v>9</v>
      </c>
    </row>
    <row r="11" spans="1:3">
      <c r="A11" s="2">
        <v>10</v>
      </c>
      <c r="B11" s="2">
        <v>1</v>
      </c>
      <c r="C11" s="2">
        <v>10</v>
      </c>
    </row>
    <row r="12" spans="1:3">
      <c r="A12" s="2">
        <v>11</v>
      </c>
      <c r="B12" s="2">
        <v>1</v>
      </c>
      <c r="C12" s="2">
        <v>11</v>
      </c>
    </row>
    <row r="13" spans="1:3">
      <c r="A13" s="2">
        <v>12</v>
      </c>
      <c r="B13" s="2">
        <v>1</v>
      </c>
      <c r="C13" s="2">
        <v>12</v>
      </c>
    </row>
    <row r="14" spans="1:3">
      <c r="A14" s="2">
        <v>13</v>
      </c>
      <c r="B14" s="2">
        <v>2</v>
      </c>
      <c r="C14" s="2">
        <v>1</v>
      </c>
    </row>
    <row r="15" spans="1:3">
      <c r="A15" s="2">
        <v>14</v>
      </c>
      <c r="B15" s="2">
        <v>2</v>
      </c>
      <c r="C15" s="2">
        <v>4</v>
      </c>
    </row>
    <row r="16" spans="1:3">
      <c r="A16" s="2">
        <v>15</v>
      </c>
      <c r="B16" s="2">
        <v>2</v>
      </c>
      <c r="C16" s="2">
        <v>8</v>
      </c>
    </row>
    <row r="17" spans="1:3">
      <c r="A17" s="2">
        <v>16</v>
      </c>
      <c r="B17" s="2">
        <v>2</v>
      </c>
      <c r="C17" s="2">
        <v>9</v>
      </c>
    </row>
    <row r="18" spans="1:3">
      <c r="A18" s="2">
        <v>17</v>
      </c>
      <c r="B18" s="2">
        <v>2</v>
      </c>
      <c r="C18" s="2">
        <v>10</v>
      </c>
    </row>
    <row r="19" spans="1:3">
      <c r="A19" s="2">
        <v>18</v>
      </c>
      <c r="B19" s="2">
        <v>2</v>
      </c>
      <c r="C19" s="2">
        <v>12</v>
      </c>
    </row>
    <row r="20" spans="1:3">
      <c r="A20" s="2">
        <v>19</v>
      </c>
      <c r="B20" s="2">
        <v>3</v>
      </c>
      <c r="C20" s="2">
        <v>8</v>
      </c>
    </row>
    <row r="21" spans="1:3">
      <c r="A21" s="2">
        <v>20</v>
      </c>
      <c r="B21" s="2">
        <v>3</v>
      </c>
      <c r="C21" s="2">
        <v>9</v>
      </c>
    </row>
    <row r="22" spans="1:3">
      <c r="A22" s="2">
        <v>21</v>
      </c>
      <c r="B22" s="2">
        <v>3</v>
      </c>
      <c r="C22" s="2">
        <v>13</v>
      </c>
    </row>
    <row r="23" spans="1:3">
      <c r="A23" s="2">
        <v>22</v>
      </c>
      <c r="B23" s="2">
        <v>4</v>
      </c>
      <c r="C23" s="2">
        <v>8</v>
      </c>
    </row>
    <row r="24" spans="1:3">
      <c r="A24" s="2">
        <v>23</v>
      </c>
      <c r="B24" s="2">
        <v>4</v>
      </c>
      <c r="C24" s="2">
        <v>9</v>
      </c>
    </row>
    <row r="25" spans="1:3">
      <c r="A25" s="2">
        <v>24</v>
      </c>
      <c r="B25" s="2">
        <v>4</v>
      </c>
      <c r="C25" s="2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C514-50D0-4205-B51D-3D39004D1895}">
  <dimension ref="A1:D41"/>
  <sheetViews>
    <sheetView topLeftCell="A11" workbookViewId="0">
      <selection activeCell="A18" sqref="A18"/>
    </sheetView>
  </sheetViews>
  <sheetFormatPr defaultColWidth="11.42578125" defaultRowHeight="14.45"/>
  <cols>
    <col min="1" max="1" width="14.42578125" customWidth="1"/>
  </cols>
  <sheetData>
    <row r="1" spans="1:4" ht="15">
      <c r="A1" s="2" t="s">
        <v>18</v>
      </c>
      <c r="B1" s="2" t="s">
        <v>38</v>
      </c>
      <c r="C1" s="2" t="s">
        <v>33</v>
      </c>
      <c r="D1" s="2" t="s">
        <v>34</v>
      </c>
    </row>
    <row r="2" spans="1:4" ht="15">
      <c r="A2" s="2">
        <v>1</v>
      </c>
      <c r="B2" s="2">
        <v>1</v>
      </c>
      <c r="C2" s="2">
        <v>1</v>
      </c>
      <c r="D2" s="2">
        <v>1</v>
      </c>
    </row>
    <row r="3" spans="1:4" ht="15">
      <c r="A3" s="2">
        <v>2</v>
      </c>
      <c r="B3" s="2">
        <v>1</v>
      </c>
      <c r="C3" s="2">
        <v>2</v>
      </c>
      <c r="D3" s="2">
        <v>1</v>
      </c>
    </row>
    <row r="4" spans="1:4" ht="15">
      <c r="A4" s="2">
        <v>3</v>
      </c>
      <c r="B4" s="2">
        <v>1</v>
      </c>
      <c r="C4" s="2">
        <v>3</v>
      </c>
      <c r="D4" s="2">
        <v>1</v>
      </c>
    </row>
    <row r="5" spans="1:4" ht="15">
      <c r="A5" s="2">
        <v>4</v>
      </c>
      <c r="B5" s="2">
        <v>1</v>
      </c>
      <c r="C5" s="2">
        <v>4</v>
      </c>
      <c r="D5" s="2">
        <v>1</v>
      </c>
    </row>
    <row r="6" spans="1:4" ht="15">
      <c r="A6" s="2">
        <v>5</v>
      </c>
      <c r="B6" s="2">
        <v>1</v>
      </c>
      <c r="C6" s="2">
        <v>5</v>
      </c>
      <c r="D6" s="2">
        <v>1</v>
      </c>
    </row>
    <row r="7" spans="1:4" ht="15">
      <c r="A7" s="2">
        <v>6</v>
      </c>
      <c r="B7" s="2">
        <v>1</v>
      </c>
      <c r="C7" s="2">
        <v>6</v>
      </c>
      <c r="D7" s="2">
        <v>1</v>
      </c>
    </row>
    <row r="8" spans="1:4" ht="15">
      <c r="A8" s="2">
        <v>7</v>
      </c>
      <c r="B8" s="2">
        <v>2</v>
      </c>
      <c r="C8" s="2">
        <v>7</v>
      </c>
      <c r="D8" s="2">
        <v>1</v>
      </c>
    </row>
    <row r="9" spans="1:4" ht="15">
      <c r="A9" s="2">
        <v>8</v>
      </c>
      <c r="B9" s="2">
        <v>2</v>
      </c>
      <c r="C9" s="2">
        <v>8</v>
      </c>
      <c r="D9" s="2">
        <v>1</v>
      </c>
    </row>
    <row r="10" spans="1:4" ht="15">
      <c r="A10" s="2">
        <v>9</v>
      </c>
      <c r="B10" s="2">
        <v>2</v>
      </c>
      <c r="C10" s="2">
        <v>9</v>
      </c>
      <c r="D10" s="2">
        <v>1</v>
      </c>
    </row>
    <row r="11" spans="1:4" ht="15">
      <c r="A11" s="2">
        <v>10</v>
      </c>
      <c r="B11" s="2">
        <v>2</v>
      </c>
      <c r="C11" s="2">
        <v>10</v>
      </c>
      <c r="D11" s="2">
        <v>1</v>
      </c>
    </row>
    <row r="12" spans="1:4" ht="15">
      <c r="A12" s="2">
        <v>11</v>
      </c>
      <c r="B12" s="2">
        <v>2</v>
      </c>
      <c r="C12" s="2">
        <v>11</v>
      </c>
      <c r="D12" s="2">
        <v>1</v>
      </c>
    </row>
    <row r="13" spans="1:4" ht="15">
      <c r="A13" s="2">
        <v>12</v>
      </c>
      <c r="B13" s="2">
        <v>2</v>
      </c>
      <c r="C13" s="2">
        <v>12</v>
      </c>
      <c r="D13" s="2">
        <v>1</v>
      </c>
    </row>
    <row r="14" spans="1:4" ht="15">
      <c r="A14" s="2">
        <v>13</v>
      </c>
      <c r="B14" s="2">
        <v>3</v>
      </c>
      <c r="C14" s="2">
        <v>7</v>
      </c>
      <c r="D14" s="2">
        <v>1</v>
      </c>
    </row>
    <row r="15" spans="1:4" ht="15">
      <c r="A15" s="2">
        <v>14</v>
      </c>
      <c r="B15" s="2">
        <v>3</v>
      </c>
      <c r="C15" s="2">
        <v>8</v>
      </c>
      <c r="D15" s="2">
        <v>1</v>
      </c>
    </row>
    <row r="16" spans="1:4" ht="15">
      <c r="A16" s="2">
        <v>15</v>
      </c>
      <c r="B16" s="2">
        <v>3</v>
      </c>
      <c r="C16" s="2">
        <v>9</v>
      </c>
      <c r="D16" s="2">
        <v>1</v>
      </c>
    </row>
    <row r="17" spans="1:4" ht="15">
      <c r="A17" s="2">
        <v>16</v>
      </c>
      <c r="B17" s="2">
        <v>3</v>
      </c>
      <c r="C17" s="2">
        <v>10</v>
      </c>
      <c r="D17" s="2">
        <v>1</v>
      </c>
    </row>
    <row r="18" spans="1:4" ht="15">
      <c r="A18" s="2">
        <v>17</v>
      </c>
      <c r="B18" s="2">
        <v>4</v>
      </c>
      <c r="C18" s="2">
        <v>1</v>
      </c>
      <c r="D18" s="2">
        <v>2</v>
      </c>
    </row>
    <row r="19" spans="1:4" ht="15">
      <c r="A19" s="2">
        <v>18</v>
      </c>
      <c r="B19" s="2">
        <v>4</v>
      </c>
      <c r="C19" s="2">
        <v>2</v>
      </c>
      <c r="D19" s="2">
        <v>2</v>
      </c>
    </row>
    <row r="20" spans="1:4" ht="15">
      <c r="A20" s="2">
        <v>19</v>
      </c>
      <c r="B20" s="2">
        <v>4</v>
      </c>
      <c r="C20" s="2">
        <v>3</v>
      </c>
      <c r="D20" s="2">
        <v>2</v>
      </c>
    </row>
    <row r="21" spans="1:4" ht="15">
      <c r="A21" s="2">
        <v>20</v>
      </c>
      <c r="B21" s="2">
        <v>4</v>
      </c>
      <c r="C21" s="2">
        <v>4</v>
      </c>
      <c r="D21" s="2">
        <v>2</v>
      </c>
    </row>
    <row r="22" spans="1:4" ht="15">
      <c r="A22" s="2">
        <v>21</v>
      </c>
      <c r="B22" s="2">
        <v>4</v>
      </c>
      <c r="C22" s="2">
        <v>5</v>
      </c>
      <c r="D22" s="2">
        <v>2</v>
      </c>
    </row>
    <row r="23" spans="1:4" ht="15">
      <c r="A23" s="2">
        <v>22</v>
      </c>
      <c r="B23" s="2">
        <v>4</v>
      </c>
      <c r="C23" s="2">
        <v>6</v>
      </c>
      <c r="D23" s="2">
        <v>2</v>
      </c>
    </row>
    <row r="24" spans="1:4" ht="15">
      <c r="A24" s="2">
        <v>23</v>
      </c>
      <c r="B24" s="2">
        <v>4</v>
      </c>
      <c r="C24" s="2">
        <v>7</v>
      </c>
      <c r="D24" s="2">
        <v>2</v>
      </c>
    </row>
    <row r="25" spans="1:4" ht="15">
      <c r="A25" s="2">
        <v>24</v>
      </c>
      <c r="B25" s="2">
        <v>4</v>
      </c>
      <c r="C25" s="2">
        <v>8</v>
      </c>
      <c r="D25" s="2">
        <v>2</v>
      </c>
    </row>
    <row r="26" spans="1:4" ht="15">
      <c r="A26" s="2">
        <v>25</v>
      </c>
      <c r="B26" s="2">
        <v>4</v>
      </c>
      <c r="C26" s="2">
        <v>9</v>
      </c>
      <c r="D26" s="2">
        <v>2</v>
      </c>
    </row>
    <row r="27" spans="1:4" ht="15">
      <c r="A27" s="2">
        <v>26</v>
      </c>
      <c r="B27" s="2">
        <v>4</v>
      </c>
      <c r="C27" s="2">
        <v>10</v>
      </c>
      <c r="D27" s="2">
        <v>2</v>
      </c>
    </row>
    <row r="28" spans="1:4" ht="15">
      <c r="A28" s="2">
        <v>27</v>
      </c>
      <c r="B28" s="2">
        <v>4</v>
      </c>
      <c r="C28" s="2">
        <v>11</v>
      </c>
      <c r="D28" s="2">
        <v>2</v>
      </c>
    </row>
    <row r="29" spans="1:4" ht="15">
      <c r="A29" s="2">
        <v>28</v>
      </c>
      <c r="B29" s="2">
        <v>4</v>
      </c>
      <c r="C29" s="2">
        <v>12</v>
      </c>
      <c r="D29" s="2">
        <v>2</v>
      </c>
    </row>
    <row r="30" spans="1:4" ht="15">
      <c r="A30" s="2">
        <v>29</v>
      </c>
      <c r="B30" s="2">
        <v>5</v>
      </c>
      <c r="C30" s="2">
        <v>1</v>
      </c>
      <c r="D30" s="2">
        <v>2</v>
      </c>
    </row>
    <row r="31" spans="1:4" ht="15">
      <c r="A31" s="2">
        <v>30</v>
      </c>
      <c r="B31" s="2">
        <v>5</v>
      </c>
      <c r="C31" s="2">
        <v>2</v>
      </c>
      <c r="D31" s="2">
        <v>2</v>
      </c>
    </row>
    <row r="32" spans="1:4" ht="15">
      <c r="A32" s="2">
        <v>31</v>
      </c>
      <c r="B32" s="2">
        <v>5</v>
      </c>
      <c r="C32" s="2">
        <v>3</v>
      </c>
      <c r="D32" s="2">
        <v>2</v>
      </c>
    </row>
    <row r="33" spans="1:4" ht="15">
      <c r="A33" s="2">
        <v>32</v>
      </c>
      <c r="B33" s="2">
        <v>5</v>
      </c>
      <c r="C33" s="2">
        <v>4</v>
      </c>
      <c r="D33" s="2">
        <v>2</v>
      </c>
    </row>
    <row r="34" spans="1:4" ht="15">
      <c r="A34" s="2">
        <v>33</v>
      </c>
      <c r="B34" s="2">
        <v>5</v>
      </c>
      <c r="C34" s="2">
        <v>5</v>
      </c>
      <c r="D34" s="2">
        <v>2</v>
      </c>
    </row>
    <row r="35" spans="1:4" ht="15">
      <c r="A35" s="2">
        <v>34</v>
      </c>
      <c r="B35" s="2">
        <v>5</v>
      </c>
      <c r="C35" s="2">
        <v>6</v>
      </c>
      <c r="D35" s="2">
        <v>2</v>
      </c>
    </row>
    <row r="36" spans="1:4" ht="15">
      <c r="A36" s="2">
        <v>35</v>
      </c>
      <c r="B36" s="2">
        <v>5</v>
      </c>
      <c r="C36" s="2">
        <v>7</v>
      </c>
      <c r="D36" s="2">
        <v>2</v>
      </c>
    </row>
    <row r="37" spans="1:4" ht="15">
      <c r="A37" s="2">
        <v>36</v>
      </c>
      <c r="B37" s="2">
        <v>5</v>
      </c>
      <c r="C37" s="2">
        <v>8</v>
      </c>
      <c r="D37" s="2">
        <v>2</v>
      </c>
    </row>
    <row r="38" spans="1:4" ht="15">
      <c r="A38" s="2">
        <v>37</v>
      </c>
      <c r="B38" s="2">
        <v>5</v>
      </c>
      <c r="C38" s="2">
        <v>9</v>
      </c>
      <c r="D38" s="2">
        <v>2</v>
      </c>
    </row>
    <row r="39" spans="1:4" ht="15">
      <c r="A39" s="2">
        <v>38</v>
      </c>
      <c r="B39" s="2">
        <v>5</v>
      </c>
      <c r="C39" s="2">
        <v>10</v>
      </c>
      <c r="D39" s="2">
        <v>2</v>
      </c>
    </row>
    <row r="40" spans="1:4" ht="15">
      <c r="A40" s="2">
        <v>39</v>
      </c>
      <c r="B40" s="2">
        <v>5</v>
      </c>
      <c r="C40" s="2">
        <v>11</v>
      </c>
      <c r="D40" s="2">
        <v>2</v>
      </c>
    </row>
    <row r="41" spans="1:4" ht="15">
      <c r="A41" s="2">
        <v>40</v>
      </c>
      <c r="B41" s="2">
        <v>5</v>
      </c>
      <c r="C41" s="2">
        <v>12</v>
      </c>
      <c r="D41" s="2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E3B0-0DE9-48C6-98CC-BB219A4C0552}">
  <dimension ref="A1:C6"/>
  <sheetViews>
    <sheetView workbookViewId="0">
      <selection activeCell="C2" sqref="C2:C6"/>
    </sheetView>
  </sheetViews>
  <sheetFormatPr defaultColWidth="11.42578125" defaultRowHeight="14.45"/>
  <cols>
    <col min="1" max="1" width="15.5703125" customWidth="1"/>
    <col min="3" max="3" width="16.28515625" customWidth="1"/>
  </cols>
  <sheetData>
    <row r="1" spans="1:3">
      <c r="A1" s="3" t="s">
        <v>12</v>
      </c>
      <c r="B1" s="3" t="s">
        <v>36</v>
      </c>
      <c r="C1" s="3" t="s">
        <v>34</v>
      </c>
    </row>
    <row r="2" spans="1:3">
      <c r="A2" s="3">
        <v>1</v>
      </c>
      <c r="B2" s="3">
        <v>1</v>
      </c>
      <c r="C2" s="3">
        <v>1</v>
      </c>
    </row>
    <row r="3" spans="1:3">
      <c r="A3" s="3">
        <v>2</v>
      </c>
      <c r="B3" s="3">
        <v>2</v>
      </c>
      <c r="C3" s="3">
        <v>1</v>
      </c>
    </row>
    <row r="4" spans="1:3">
      <c r="A4" s="3">
        <v>3</v>
      </c>
      <c r="B4" s="3">
        <v>3</v>
      </c>
      <c r="C4" s="3">
        <v>2</v>
      </c>
    </row>
    <row r="5" spans="1:3">
      <c r="A5" s="3">
        <v>4</v>
      </c>
      <c r="B5" s="3">
        <v>4</v>
      </c>
      <c r="C5" s="3">
        <v>2</v>
      </c>
    </row>
    <row r="6" spans="1:3">
      <c r="A6" s="3">
        <v>5</v>
      </c>
      <c r="B6" s="3">
        <v>1</v>
      </c>
      <c r="C6" s="3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F437-B5FB-49CB-92DA-61AAADF19980}">
  <dimension ref="A1:H219"/>
  <sheetViews>
    <sheetView topLeftCell="A212" zoomScaleNormal="100" workbookViewId="0">
      <selection activeCell="E2" sqref="E2"/>
    </sheetView>
  </sheetViews>
  <sheetFormatPr defaultColWidth="11.42578125" defaultRowHeight="14.45"/>
  <cols>
    <col min="1" max="1" width="15.42578125" customWidth="1"/>
    <col min="2" max="2" width="19.140625" customWidth="1"/>
    <col min="3" max="3" width="15.5703125" customWidth="1"/>
    <col min="4" max="4" width="9" customWidth="1"/>
    <col min="5" max="5" width="10.28515625" customWidth="1"/>
  </cols>
  <sheetData>
    <row r="1" spans="1:8">
      <c r="A1" s="2" t="s">
        <v>39</v>
      </c>
      <c r="B1" s="2" t="s">
        <v>40</v>
      </c>
      <c r="C1" s="2" t="s">
        <v>36</v>
      </c>
      <c r="D1" s="2" t="s">
        <v>33</v>
      </c>
      <c r="E1" s="2" t="s">
        <v>25</v>
      </c>
      <c r="F1" s="2" t="s">
        <v>41</v>
      </c>
      <c r="G1" s="2"/>
      <c r="H1" s="2"/>
    </row>
    <row r="2" spans="1:8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33</v>
      </c>
      <c r="G2" s="2"/>
      <c r="H2" s="2"/>
    </row>
    <row r="3" spans="1:8">
      <c r="A3" s="2">
        <v>2</v>
      </c>
      <c r="B3" s="2">
        <v>1</v>
      </c>
      <c r="C3" s="2">
        <v>1</v>
      </c>
      <c r="D3" s="2">
        <v>1</v>
      </c>
      <c r="E3" s="2">
        <v>2</v>
      </c>
      <c r="F3" s="2">
        <v>28</v>
      </c>
      <c r="G3" s="2"/>
      <c r="H3" s="2"/>
    </row>
    <row r="4" spans="1:8">
      <c r="A4" s="2">
        <v>3</v>
      </c>
      <c r="B4" s="2">
        <v>1</v>
      </c>
      <c r="C4" s="2">
        <v>1</v>
      </c>
      <c r="D4" s="2">
        <v>1</v>
      </c>
      <c r="E4" s="2">
        <v>3</v>
      </c>
      <c r="F4" s="2">
        <v>23</v>
      </c>
      <c r="G4" s="2"/>
      <c r="H4" s="2"/>
    </row>
    <row r="5" spans="1:8">
      <c r="A5" s="2">
        <v>4</v>
      </c>
      <c r="B5" s="2">
        <v>1</v>
      </c>
      <c r="C5" s="2">
        <v>1</v>
      </c>
      <c r="D5" s="2">
        <v>2</v>
      </c>
      <c r="E5" s="2">
        <v>1</v>
      </c>
      <c r="F5" s="2">
        <v>33</v>
      </c>
      <c r="G5" s="2"/>
      <c r="H5" s="2"/>
    </row>
    <row r="6" spans="1:8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28</v>
      </c>
      <c r="G6" s="2"/>
      <c r="H6" s="2"/>
    </row>
    <row r="7" spans="1:8">
      <c r="A7" s="2">
        <v>6</v>
      </c>
      <c r="B7" s="2">
        <v>1</v>
      </c>
      <c r="C7" s="2">
        <v>1</v>
      </c>
      <c r="D7" s="2">
        <v>2</v>
      </c>
      <c r="E7" s="2">
        <v>3</v>
      </c>
      <c r="F7" s="2">
        <v>23</v>
      </c>
      <c r="G7" s="2"/>
      <c r="H7" s="2"/>
    </row>
    <row r="8" spans="1:8">
      <c r="A8" s="2">
        <v>7</v>
      </c>
      <c r="B8" s="2">
        <v>1</v>
      </c>
      <c r="C8" s="2">
        <v>1</v>
      </c>
      <c r="D8" s="2">
        <v>3</v>
      </c>
      <c r="E8" s="2">
        <v>1</v>
      </c>
      <c r="F8" s="2">
        <v>33</v>
      </c>
      <c r="G8" s="2"/>
      <c r="H8" s="2"/>
    </row>
    <row r="9" spans="1:8">
      <c r="A9" s="2">
        <v>8</v>
      </c>
      <c r="B9" s="2">
        <v>1</v>
      </c>
      <c r="C9" s="2">
        <v>1</v>
      </c>
      <c r="D9" s="2">
        <v>3</v>
      </c>
      <c r="E9" s="2">
        <v>2</v>
      </c>
      <c r="F9" s="2">
        <v>28</v>
      </c>
      <c r="G9" s="2"/>
      <c r="H9" s="2"/>
    </row>
    <row r="10" spans="1:8">
      <c r="A10" s="2">
        <v>9</v>
      </c>
      <c r="B10" s="2">
        <v>1</v>
      </c>
      <c r="C10" s="2">
        <v>1</v>
      </c>
      <c r="D10" s="2">
        <v>3</v>
      </c>
      <c r="E10" s="2">
        <v>3</v>
      </c>
      <c r="F10" s="2">
        <v>23</v>
      </c>
      <c r="G10" s="2"/>
      <c r="H10" s="2"/>
    </row>
    <row r="11" spans="1:8">
      <c r="A11" s="2">
        <v>10</v>
      </c>
      <c r="B11" s="2">
        <v>1</v>
      </c>
      <c r="C11" s="2">
        <v>1</v>
      </c>
      <c r="D11" s="2">
        <v>4</v>
      </c>
      <c r="E11" s="2">
        <v>1</v>
      </c>
      <c r="F11" s="2">
        <v>33</v>
      </c>
      <c r="G11" s="2"/>
      <c r="H11" s="2"/>
    </row>
    <row r="12" spans="1:8">
      <c r="A12" s="2">
        <v>11</v>
      </c>
      <c r="B12" s="2">
        <v>1</v>
      </c>
      <c r="C12" s="2">
        <v>1</v>
      </c>
      <c r="D12" s="2">
        <v>4</v>
      </c>
      <c r="E12" s="2">
        <v>2</v>
      </c>
      <c r="F12" s="2">
        <v>28</v>
      </c>
      <c r="G12" s="2"/>
      <c r="H12" s="2"/>
    </row>
    <row r="13" spans="1:8">
      <c r="A13" s="2">
        <v>12</v>
      </c>
      <c r="B13" s="2">
        <v>1</v>
      </c>
      <c r="C13" s="2">
        <v>1</v>
      </c>
      <c r="D13" s="2">
        <v>4</v>
      </c>
      <c r="E13" s="2">
        <v>3</v>
      </c>
      <c r="F13" s="2">
        <v>23</v>
      </c>
      <c r="G13" s="2"/>
      <c r="H13" s="2"/>
    </row>
    <row r="14" spans="1:8">
      <c r="A14" s="2">
        <v>13</v>
      </c>
      <c r="B14" s="2">
        <v>1</v>
      </c>
      <c r="C14" s="2">
        <v>1</v>
      </c>
      <c r="D14" s="2">
        <v>5</v>
      </c>
      <c r="E14" s="2">
        <v>1</v>
      </c>
      <c r="F14" s="2">
        <v>33</v>
      </c>
      <c r="G14" s="2"/>
      <c r="H14" s="2"/>
    </row>
    <row r="15" spans="1:8">
      <c r="A15" s="2">
        <v>14</v>
      </c>
      <c r="B15" s="2">
        <v>1</v>
      </c>
      <c r="C15" s="2">
        <v>1</v>
      </c>
      <c r="D15" s="2">
        <v>5</v>
      </c>
      <c r="E15" s="2">
        <v>2</v>
      </c>
      <c r="F15" s="2">
        <v>28</v>
      </c>
      <c r="G15" s="2"/>
      <c r="H15" s="2"/>
    </row>
    <row r="16" spans="1:8">
      <c r="A16" s="2">
        <v>15</v>
      </c>
      <c r="B16" s="2">
        <v>1</v>
      </c>
      <c r="C16" s="2">
        <v>1</v>
      </c>
      <c r="D16" s="2">
        <v>5</v>
      </c>
      <c r="E16" s="2">
        <v>3</v>
      </c>
      <c r="F16" s="2">
        <v>23</v>
      </c>
      <c r="G16" s="2"/>
      <c r="H16" s="2"/>
    </row>
    <row r="17" spans="1:8">
      <c r="A17" s="2">
        <v>16</v>
      </c>
      <c r="B17" s="2">
        <v>1</v>
      </c>
      <c r="C17" s="2">
        <v>1</v>
      </c>
      <c r="D17" s="2">
        <v>6</v>
      </c>
      <c r="E17" s="2">
        <v>1</v>
      </c>
      <c r="F17" s="2">
        <v>33</v>
      </c>
      <c r="G17" s="2"/>
      <c r="H17" s="2"/>
    </row>
    <row r="18" spans="1:8">
      <c r="A18" s="2">
        <v>17</v>
      </c>
      <c r="B18" s="2">
        <v>1</v>
      </c>
      <c r="C18" s="2">
        <v>1</v>
      </c>
      <c r="D18" s="2">
        <v>6</v>
      </c>
      <c r="E18" s="2">
        <v>2</v>
      </c>
      <c r="F18" s="2">
        <v>28</v>
      </c>
      <c r="G18" s="2"/>
      <c r="H18" s="2"/>
    </row>
    <row r="19" spans="1:8">
      <c r="A19" s="2">
        <v>18</v>
      </c>
      <c r="B19" s="2">
        <v>1</v>
      </c>
      <c r="C19" s="2">
        <v>1</v>
      </c>
      <c r="D19" s="2">
        <v>6</v>
      </c>
      <c r="E19" s="2">
        <v>3</v>
      </c>
      <c r="F19" s="2">
        <v>23</v>
      </c>
      <c r="G19" s="2"/>
      <c r="H19" s="2"/>
    </row>
    <row r="20" spans="1:8">
      <c r="A20" s="2">
        <v>19</v>
      </c>
      <c r="B20" s="2">
        <v>1</v>
      </c>
      <c r="C20" s="2">
        <v>1</v>
      </c>
      <c r="D20" s="2">
        <v>7</v>
      </c>
      <c r="E20" s="2">
        <v>1</v>
      </c>
      <c r="F20" s="2">
        <v>35</v>
      </c>
      <c r="G20" s="2"/>
      <c r="H20" s="2"/>
    </row>
    <row r="21" spans="1:8">
      <c r="A21" s="2">
        <v>20</v>
      </c>
      <c r="B21" s="2">
        <v>1</v>
      </c>
      <c r="C21" s="2">
        <v>1</v>
      </c>
      <c r="D21" s="2">
        <v>7</v>
      </c>
      <c r="E21" s="2">
        <v>2</v>
      </c>
      <c r="F21" s="2">
        <v>32</v>
      </c>
      <c r="G21" s="2"/>
      <c r="H21" s="2"/>
    </row>
    <row r="22" spans="1:8">
      <c r="A22" s="2">
        <v>21</v>
      </c>
      <c r="B22" s="2">
        <v>1</v>
      </c>
      <c r="C22" s="2">
        <v>1</v>
      </c>
      <c r="D22" s="2">
        <v>7</v>
      </c>
      <c r="E22" s="2">
        <v>3</v>
      </c>
      <c r="F22" s="2">
        <v>26</v>
      </c>
      <c r="G22" s="2"/>
      <c r="H22" s="2"/>
    </row>
    <row r="23" spans="1:8">
      <c r="A23" s="2">
        <v>22</v>
      </c>
      <c r="B23" s="2">
        <v>1</v>
      </c>
      <c r="C23" s="2">
        <v>1</v>
      </c>
      <c r="D23" s="2">
        <v>8</v>
      </c>
      <c r="E23" s="2">
        <v>1</v>
      </c>
      <c r="F23" s="2">
        <v>35</v>
      </c>
      <c r="G23" s="2"/>
      <c r="H23" s="2"/>
    </row>
    <row r="24" spans="1:8">
      <c r="A24" s="2">
        <v>23</v>
      </c>
      <c r="B24" s="2">
        <v>1</v>
      </c>
      <c r="C24" s="2">
        <v>1</v>
      </c>
      <c r="D24" s="2">
        <v>8</v>
      </c>
      <c r="E24" s="2">
        <v>2</v>
      </c>
      <c r="F24" s="2">
        <v>32</v>
      </c>
      <c r="G24" s="2"/>
      <c r="H24" s="2"/>
    </row>
    <row r="25" spans="1:8">
      <c r="A25" s="2">
        <v>24</v>
      </c>
      <c r="B25" s="2">
        <v>1</v>
      </c>
      <c r="C25" s="2">
        <v>1</v>
      </c>
      <c r="D25" s="2">
        <v>8</v>
      </c>
      <c r="E25" s="2">
        <v>3</v>
      </c>
      <c r="F25" s="2">
        <v>26</v>
      </c>
      <c r="G25" s="2"/>
      <c r="H25" s="2"/>
    </row>
    <row r="26" spans="1:8">
      <c r="A26" s="2">
        <v>25</v>
      </c>
      <c r="B26" s="2">
        <v>1</v>
      </c>
      <c r="C26" s="2">
        <v>1</v>
      </c>
      <c r="D26" s="2">
        <v>9</v>
      </c>
      <c r="E26" s="2">
        <v>1</v>
      </c>
      <c r="F26" s="2">
        <v>35</v>
      </c>
      <c r="G26" s="2"/>
      <c r="H26" s="2"/>
    </row>
    <row r="27" spans="1:8">
      <c r="A27" s="2">
        <v>26</v>
      </c>
      <c r="B27" s="2">
        <v>1</v>
      </c>
      <c r="C27" s="2">
        <v>1</v>
      </c>
      <c r="D27" s="2">
        <v>9</v>
      </c>
      <c r="E27" s="2">
        <v>2</v>
      </c>
      <c r="F27" s="2">
        <v>32</v>
      </c>
      <c r="G27" s="2"/>
      <c r="H27" s="2"/>
    </row>
    <row r="28" spans="1:8">
      <c r="A28" s="2">
        <v>27</v>
      </c>
      <c r="B28" s="2">
        <v>1</v>
      </c>
      <c r="C28" s="2">
        <v>1</v>
      </c>
      <c r="D28" s="2">
        <v>9</v>
      </c>
      <c r="E28" s="2">
        <v>3</v>
      </c>
      <c r="F28" s="2">
        <v>26</v>
      </c>
      <c r="G28" s="2"/>
      <c r="H28" s="2"/>
    </row>
    <row r="29" spans="1:8">
      <c r="A29" s="2">
        <v>28</v>
      </c>
      <c r="B29" s="2">
        <v>1</v>
      </c>
      <c r="C29" s="2">
        <v>1</v>
      </c>
      <c r="D29" s="2">
        <v>10</v>
      </c>
      <c r="E29" s="2">
        <v>1</v>
      </c>
      <c r="F29" s="2">
        <v>35</v>
      </c>
      <c r="G29" s="2"/>
      <c r="H29" s="2"/>
    </row>
    <row r="30" spans="1:8">
      <c r="A30" s="2">
        <v>29</v>
      </c>
      <c r="B30" s="2">
        <v>1</v>
      </c>
      <c r="C30" s="2">
        <v>1</v>
      </c>
      <c r="D30" s="2">
        <v>10</v>
      </c>
      <c r="E30" s="2">
        <v>2</v>
      </c>
      <c r="F30" s="2">
        <v>32</v>
      </c>
      <c r="G30" s="2"/>
      <c r="H30" s="2"/>
    </row>
    <row r="31" spans="1:8">
      <c r="A31" s="2">
        <v>30</v>
      </c>
      <c r="B31" s="2">
        <v>1</v>
      </c>
      <c r="C31" s="2">
        <v>1</v>
      </c>
      <c r="D31" s="2">
        <v>10</v>
      </c>
      <c r="E31" s="2">
        <v>3</v>
      </c>
      <c r="F31" s="2">
        <v>26</v>
      </c>
      <c r="G31" s="2"/>
      <c r="H31" s="2"/>
    </row>
    <row r="32" spans="1:8">
      <c r="A32" s="2">
        <v>31</v>
      </c>
      <c r="B32" s="2">
        <v>1</v>
      </c>
      <c r="C32" s="2">
        <v>1</v>
      </c>
      <c r="D32" s="2">
        <v>11</v>
      </c>
      <c r="E32" s="2">
        <v>1</v>
      </c>
      <c r="F32" s="2">
        <v>41</v>
      </c>
      <c r="G32" s="2"/>
      <c r="H32" s="2"/>
    </row>
    <row r="33" spans="1:8">
      <c r="A33" s="2">
        <v>32</v>
      </c>
      <c r="B33" s="2">
        <v>1</v>
      </c>
      <c r="C33" s="2">
        <v>1</v>
      </c>
      <c r="D33" s="2">
        <v>11</v>
      </c>
      <c r="E33" s="2">
        <v>2</v>
      </c>
      <c r="F33" s="2">
        <v>38</v>
      </c>
      <c r="G33" s="2"/>
      <c r="H33" s="2"/>
    </row>
    <row r="34" spans="1:8">
      <c r="A34" s="2">
        <v>33</v>
      </c>
      <c r="B34" s="2">
        <v>1</v>
      </c>
      <c r="C34" s="2">
        <v>1</v>
      </c>
      <c r="D34" s="2">
        <v>11</v>
      </c>
      <c r="E34" s="2">
        <v>3</v>
      </c>
      <c r="F34" s="2">
        <v>32</v>
      </c>
      <c r="G34" s="2"/>
      <c r="H34" s="2"/>
    </row>
    <row r="35" spans="1:8">
      <c r="A35" s="2">
        <v>34</v>
      </c>
      <c r="B35" s="2">
        <v>1</v>
      </c>
      <c r="C35" s="2">
        <v>1</v>
      </c>
      <c r="D35" s="2">
        <v>12</v>
      </c>
      <c r="E35" s="2">
        <v>1</v>
      </c>
      <c r="F35" s="2">
        <v>45</v>
      </c>
      <c r="G35" s="2"/>
      <c r="H35" s="2"/>
    </row>
    <row r="36" spans="1:8">
      <c r="A36" s="2">
        <v>35</v>
      </c>
      <c r="B36" s="2">
        <v>1</v>
      </c>
      <c r="C36" s="2">
        <v>1</v>
      </c>
      <c r="D36" s="2">
        <v>12</v>
      </c>
      <c r="E36" s="2">
        <v>2</v>
      </c>
      <c r="F36" s="2">
        <v>42</v>
      </c>
      <c r="G36" s="2"/>
      <c r="H36" s="2"/>
    </row>
    <row r="37" spans="1:8">
      <c r="A37" s="2">
        <v>36</v>
      </c>
      <c r="B37" s="2">
        <v>1</v>
      </c>
      <c r="C37" s="2">
        <v>1</v>
      </c>
      <c r="D37" s="2">
        <v>12</v>
      </c>
      <c r="E37" s="2">
        <v>3</v>
      </c>
      <c r="F37" s="2">
        <v>36</v>
      </c>
      <c r="G37" s="2"/>
      <c r="H37" s="2"/>
    </row>
    <row r="38" spans="1:8">
      <c r="A38" s="2">
        <v>37</v>
      </c>
      <c r="B38" s="2">
        <v>1</v>
      </c>
      <c r="C38" s="2">
        <v>2</v>
      </c>
      <c r="D38" s="2">
        <v>1</v>
      </c>
      <c r="E38" s="2">
        <v>1</v>
      </c>
      <c r="F38" s="2">
        <v>26</v>
      </c>
      <c r="G38" s="2"/>
      <c r="H38" s="2"/>
    </row>
    <row r="39" spans="1:8">
      <c r="A39" s="2">
        <v>38</v>
      </c>
      <c r="B39" s="2">
        <v>1</v>
      </c>
      <c r="C39" s="2">
        <v>2</v>
      </c>
      <c r="D39" s="2">
        <v>1</v>
      </c>
      <c r="E39" s="2">
        <v>2</v>
      </c>
      <c r="F39" s="2">
        <v>23</v>
      </c>
      <c r="G39" s="2"/>
      <c r="H39" s="2"/>
    </row>
    <row r="40" spans="1:8">
      <c r="A40" s="2">
        <v>39</v>
      </c>
      <c r="B40" s="2">
        <v>1</v>
      </c>
      <c r="C40" s="2">
        <v>2</v>
      </c>
      <c r="D40" s="2">
        <v>1</v>
      </c>
      <c r="E40" s="2">
        <v>3</v>
      </c>
      <c r="F40" s="2">
        <v>19</v>
      </c>
      <c r="G40" s="2"/>
      <c r="H40" s="2"/>
    </row>
    <row r="41" spans="1:8">
      <c r="A41" s="2">
        <v>40</v>
      </c>
      <c r="B41" s="2">
        <v>1</v>
      </c>
      <c r="C41" s="2">
        <v>2</v>
      </c>
      <c r="D41" s="2">
        <v>2</v>
      </c>
      <c r="E41" s="2">
        <v>1</v>
      </c>
      <c r="F41" s="2">
        <v>26</v>
      </c>
      <c r="G41" s="2"/>
      <c r="H41" s="2"/>
    </row>
    <row r="42" spans="1:8">
      <c r="A42" s="2">
        <v>41</v>
      </c>
      <c r="B42" s="2">
        <v>1</v>
      </c>
      <c r="C42" s="2">
        <v>2</v>
      </c>
      <c r="D42" s="2">
        <v>2</v>
      </c>
      <c r="E42" s="2">
        <v>2</v>
      </c>
      <c r="F42" s="2">
        <v>23</v>
      </c>
      <c r="G42" s="2"/>
      <c r="H42" s="2"/>
    </row>
    <row r="43" spans="1:8">
      <c r="A43" s="2">
        <v>42</v>
      </c>
      <c r="B43" s="2">
        <v>1</v>
      </c>
      <c r="C43" s="2">
        <v>2</v>
      </c>
      <c r="D43" s="2">
        <v>2</v>
      </c>
      <c r="E43" s="2">
        <v>3</v>
      </c>
      <c r="F43" s="2">
        <v>19</v>
      </c>
      <c r="G43" s="2"/>
      <c r="H43" s="2"/>
    </row>
    <row r="44" spans="1:8">
      <c r="A44" s="2">
        <v>43</v>
      </c>
      <c r="B44" s="2">
        <v>1</v>
      </c>
      <c r="C44" s="2">
        <v>2</v>
      </c>
      <c r="D44" s="2">
        <v>3</v>
      </c>
      <c r="E44" s="2">
        <v>1</v>
      </c>
      <c r="F44" s="2">
        <v>26</v>
      </c>
      <c r="G44" s="2"/>
      <c r="H44" s="2"/>
    </row>
    <row r="45" spans="1:8">
      <c r="A45" s="2">
        <v>44</v>
      </c>
      <c r="B45" s="2">
        <v>1</v>
      </c>
      <c r="C45" s="2">
        <v>2</v>
      </c>
      <c r="D45" s="2">
        <v>3</v>
      </c>
      <c r="E45" s="2">
        <v>2</v>
      </c>
      <c r="F45" s="2">
        <v>23</v>
      </c>
      <c r="G45" s="2"/>
      <c r="H45" s="2"/>
    </row>
    <row r="46" spans="1:8">
      <c r="A46" s="2">
        <v>45</v>
      </c>
      <c r="B46" s="2">
        <v>1</v>
      </c>
      <c r="C46" s="2">
        <v>2</v>
      </c>
      <c r="D46" s="2">
        <v>3</v>
      </c>
      <c r="E46" s="2">
        <v>3</v>
      </c>
      <c r="F46" s="2">
        <v>19</v>
      </c>
      <c r="G46" s="2"/>
      <c r="H46" s="2"/>
    </row>
    <row r="47" spans="1:8">
      <c r="A47" s="2">
        <v>46</v>
      </c>
      <c r="B47" s="2">
        <v>1</v>
      </c>
      <c r="C47" s="2">
        <v>2</v>
      </c>
      <c r="D47" s="2">
        <v>4</v>
      </c>
      <c r="E47" s="2">
        <v>1</v>
      </c>
      <c r="F47" s="2">
        <v>26</v>
      </c>
      <c r="G47" s="2"/>
      <c r="H47" s="2"/>
    </row>
    <row r="48" spans="1:8">
      <c r="A48" s="2">
        <v>47</v>
      </c>
      <c r="B48" s="2">
        <v>1</v>
      </c>
      <c r="C48" s="2">
        <v>2</v>
      </c>
      <c r="D48" s="2">
        <v>4</v>
      </c>
      <c r="E48" s="2">
        <v>2</v>
      </c>
      <c r="F48" s="2">
        <v>23</v>
      </c>
      <c r="G48" s="2"/>
      <c r="H48" s="2"/>
    </row>
    <row r="49" spans="1:8">
      <c r="A49" s="2">
        <v>48</v>
      </c>
      <c r="B49" s="2">
        <v>1</v>
      </c>
      <c r="C49" s="2">
        <v>2</v>
      </c>
      <c r="D49" s="2">
        <v>4</v>
      </c>
      <c r="E49" s="2">
        <v>3</v>
      </c>
      <c r="F49" s="2">
        <v>19</v>
      </c>
      <c r="G49" s="2"/>
      <c r="H49" s="2"/>
    </row>
    <row r="50" spans="1:8">
      <c r="A50" s="2">
        <v>49</v>
      </c>
      <c r="B50" s="2">
        <v>1</v>
      </c>
      <c r="C50" s="2">
        <v>2</v>
      </c>
      <c r="D50" s="2">
        <v>5</v>
      </c>
      <c r="E50" s="2">
        <v>1</v>
      </c>
      <c r="F50" s="2">
        <v>26</v>
      </c>
      <c r="G50" s="2"/>
      <c r="H50" s="2"/>
    </row>
    <row r="51" spans="1:8">
      <c r="A51" s="2">
        <v>50</v>
      </c>
      <c r="B51" s="2">
        <v>1</v>
      </c>
      <c r="C51" s="2">
        <v>2</v>
      </c>
      <c r="D51" s="2">
        <v>5</v>
      </c>
      <c r="E51" s="2">
        <v>2</v>
      </c>
      <c r="F51" s="2">
        <v>23</v>
      </c>
      <c r="G51" s="2"/>
      <c r="H51" s="2"/>
    </row>
    <row r="52" spans="1:8">
      <c r="A52" s="2">
        <v>51</v>
      </c>
      <c r="B52" s="2">
        <v>1</v>
      </c>
      <c r="C52" s="2">
        <v>2</v>
      </c>
      <c r="D52" s="2">
        <v>5</v>
      </c>
      <c r="E52" s="2">
        <v>3</v>
      </c>
      <c r="F52" s="2">
        <v>19</v>
      </c>
      <c r="G52" s="2"/>
      <c r="H52" s="2"/>
    </row>
    <row r="53" spans="1:8">
      <c r="A53" s="2">
        <v>52</v>
      </c>
      <c r="B53" s="2">
        <v>1</v>
      </c>
      <c r="C53" s="2">
        <v>2</v>
      </c>
      <c r="D53" s="2">
        <v>6</v>
      </c>
      <c r="E53" s="2">
        <v>1</v>
      </c>
      <c r="F53" s="2">
        <v>26</v>
      </c>
      <c r="G53" s="2"/>
      <c r="H53" s="2"/>
    </row>
    <row r="54" spans="1:8">
      <c r="A54" s="2">
        <v>53</v>
      </c>
      <c r="B54" s="2">
        <v>1</v>
      </c>
      <c r="C54" s="2">
        <v>2</v>
      </c>
      <c r="D54" s="2">
        <v>6</v>
      </c>
      <c r="E54" s="2">
        <v>2</v>
      </c>
      <c r="F54" s="2">
        <v>23</v>
      </c>
      <c r="G54" s="2"/>
      <c r="H54" s="2"/>
    </row>
    <row r="55" spans="1:8">
      <c r="A55" s="2">
        <v>54</v>
      </c>
      <c r="B55" s="2">
        <v>1</v>
      </c>
      <c r="C55" s="2">
        <v>2</v>
      </c>
      <c r="D55" s="2">
        <v>6</v>
      </c>
      <c r="E55" s="2">
        <v>3</v>
      </c>
      <c r="F55" s="2">
        <v>19</v>
      </c>
      <c r="G55" s="2"/>
      <c r="H55" s="2"/>
    </row>
    <row r="56" spans="1:8">
      <c r="A56" s="2">
        <v>55</v>
      </c>
      <c r="B56" s="2">
        <v>1</v>
      </c>
      <c r="C56" s="2">
        <v>2</v>
      </c>
      <c r="D56" s="2">
        <v>7</v>
      </c>
      <c r="E56" s="2">
        <v>1</v>
      </c>
      <c r="F56" s="2">
        <v>28</v>
      </c>
      <c r="G56" s="2"/>
      <c r="H56" s="2"/>
    </row>
    <row r="57" spans="1:8">
      <c r="A57" s="2">
        <v>56</v>
      </c>
      <c r="B57" s="2">
        <v>1</v>
      </c>
      <c r="C57" s="2">
        <v>2</v>
      </c>
      <c r="D57" s="2">
        <v>7</v>
      </c>
      <c r="E57" s="2">
        <v>2</v>
      </c>
      <c r="F57" s="2">
        <v>25</v>
      </c>
      <c r="G57" s="2"/>
      <c r="H57" s="2"/>
    </row>
    <row r="58" spans="1:8">
      <c r="A58" s="2">
        <v>57</v>
      </c>
      <c r="B58" s="2">
        <v>1</v>
      </c>
      <c r="C58" s="2">
        <v>2</v>
      </c>
      <c r="D58" s="2">
        <v>7</v>
      </c>
      <c r="E58" s="2">
        <v>3</v>
      </c>
      <c r="F58" s="2">
        <v>22</v>
      </c>
      <c r="G58" s="2"/>
      <c r="H58" s="2"/>
    </row>
    <row r="59" spans="1:8">
      <c r="A59" s="2">
        <v>58</v>
      </c>
      <c r="B59" s="2">
        <v>1</v>
      </c>
      <c r="C59" s="2">
        <v>2</v>
      </c>
      <c r="D59" s="2">
        <v>8</v>
      </c>
      <c r="E59" s="2">
        <v>1</v>
      </c>
      <c r="F59" s="2">
        <v>28</v>
      </c>
      <c r="G59" s="2"/>
      <c r="H59" s="2"/>
    </row>
    <row r="60" spans="1:8">
      <c r="A60" s="2">
        <v>59</v>
      </c>
      <c r="B60" s="2">
        <v>1</v>
      </c>
      <c r="C60" s="2">
        <v>2</v>
      </c>
      <c r="D60" s="2">
        <v>8</v>
      </c>
      <c r="E60" s="2">
        <v>2</v>
      </c>
      <c r="F60" s="2">
        <v>25</v>
      </c>
      <c r="G60" s="2"/>
      <c r="H60" s="2"/>
    </row>
    <row r="61" spans="1:8">
      <c r="A61" s="2">
        <v>60</v>
      </c>
      <c r="B61" s="2">
        <v>1</v>
      </c>
      <c r="C61" s="2">
        <v>2</v>
      </c>
      <c r="D61" s="2">
        <v>8</v>
      </c>
      <c r="E61" s="2">
        <v>3</v>
      </c>
      <c r="F61" s="2">
        <v>22</v>
      </c>
      <c r="G61" s="2"/>
      <c r="H61" s="2"/>
    </row>
    <row r="62" spans="1:8">
      <c r="A62" s="2">
        <v>61</v>
      </c>
      <c r="B62" s="2">
        <v>1</v>
      </c>
      <c r="C62" s="2">
        <v>2</v>
      </c>
      <c r="D62" s="2">
        <v>9</v>
      </c>
      <c r="E62" s="2">
        <v>1</v>
      </c>
      <c r="F62" s="2">
        <v>28</v>
      </c>
      <c r="G62" s="2"/>
      <c r="H62" s="2"/>
    </row>
    <row r="63" spans="1:8">
      <c r="A63" s="2">
        <v>62</v>
      </c>
      <c r="B63" s="2">
        <v>1</v>
      </c>
      <c r="C63" s="2">
        <v>2</v>
      </c>
      <c r="D63" s="2">
        <v>9</v>
      </c>
      <c r="E63" s="2">
        <v>2</v>
      </c>
      <c r="F63" s="2">
        <v>25</v>
      </c>
      <c r="G63" s="2"/>
      <c r="H63" s="2"/>
    </row>
    <row r="64" spans="1:8">
      <c r="A64" s="2">
        <v>63</v>
      </c>
      <c r="B64" s="2">
        <v>1</v>
      </c>
      <c r="C64" s="2">
        <v>2</v>
      </c>
      <c r="D64" s="2">
        <v>9</v>
      </c>
      <c r="E64" s="2">
        <v>3</v>
      </c>
      <c r="F64" s="2">
        <v>22</v>
      </c>
      <c r="G64" s="2"/>
      <c r="H64" s="2"/>
    </row>
    <row r="65" spans="1:8">
      <c r="A65" s="2">
        <v>64</v>
      </c>
      <c r="B65" s="2">
        <v>1</v>
      </c>
      <c r="C65" s="2">
        <v>2</v>
      </c>
      <c r="D65" s="2">
        <v>10</v>
      </c>
      <c r="E65" s="2">
        <v>1</v>
      </c>
      <c r="F65" s="2">
        <v>28</v>
      </c>
      <c r="G65" s="2"/>
      <c r="H65" s="2"/>
    </row>
    <row r="66" spans="1:8">
      <c r="A66" s="2">
        <v>65</v>
      </c>
      <c r="B66" s="2">
        <v>1</v>
      </c>
      <c r="C66" s="2">
        <v>2</v>
      </c>
      <c r="D66" s="2">
        <v>10</v>
      </c>
      <c r="E66" s="2">
        <v>2</v>
      </c>
      <c r="F66" s="2">
        <v>25</v>
      </c>
      <c r="G66" s="2"/>
      <c r="H66" s="2"/>
    </row>
    <row r="67" spans="1:8">
      <c r="A67" s="2">
        <v>66</v>
      </c>
      <c r="B67" s="2">
        <v>1</v>
      </c>
      <c r="C67" s="2">
        <v>2</v>
      </c>
      <c r="D67" s="2">
        <v>10</v>
      </c>
      <c r="E67" s="2">
        <v>3</v>
      </c>
      <c r="F67" s="2">
        <v>22</v>
      </c>
      <c r="G67" s="2"/>
      <c r="H67" s="2"/>
    </row>
    <row r="68" spans="1:8">
      <c r="A68" s="2">
        <v>67</v>
      </c>
      <c r="B68" s="2">
        <v>1</v>
      </c>
      <c r="C68" s="2">
        <v>2</v>
      </c>
      <c r="D68" s="2">
        <v>11</v>
      </c>
      <c r="E68" s="2">
        <v>1</v>
      </c>
      <c r="F68" s="2">
        <v>33</v>
      </c>
      <c r="G68" s="2"/>
      <c r="H68" s="2"/>
    </row>
    <row r="69" spans="1:8">
      <c r="A69" s="2">
        <v>68</v>
      </c>
      <c r="B69" s="2">
        <v>1</v>
      </c>
      <c r="C69" s="2">
        <v>2</v>
      </c>
      <c r="D69" s="2">
        <v>11</v>
      </c>
      <c r="E69" s="2">
        <v>2</v>
      </c>
      <c r="F69" s="2">
        <v>30</v>
      </c>
      <c r="G69" s="2"/>
      <c r="H69" s="2"/>
    </row>
    <row r="70" spans="1:8">
      <c r="A70" s="2">
        <v>69</v>
      </c>
      <c r="B70" s="2">
        <v>1</v>
      </c>
      <c r="C70" s="2">
        <v>2</v>
      </c>
      <c r="D70" s="2">
        <v>11</v>
      </c>
      <c r="E70" s="2">
        <v>3</v>
      </c>
      <c r="F70" s="2">
        <v>27</v>
      </c>
      <c r="G70" s="2"/>
      <c r="H70" s="2"/>
    </row>
    <row r="71" spans="1:8">
      <c r="A71" s="2">
        <v>70</v>
      </c>
      <c r="B71" s="2">
        <v>1</v>
      </c>
      <c r="C71" s="2">
        <v>2</v>
      </c>
      <c r="D71" s="2">
        <v>12</v>
      </c>
      <c r="E71" s="2">
        <v>1</v>
      </c>
      <c r="F71" s="2">
        <v>38</v>
      </c>
      <c r="G71" s="2"/>
      <c r="H71" s="2"/>
    </row>
    <row r="72" spans="1:8">
      <c r="A72" s="2">
        <v>71</v>
      </c>
      <c r="B72" s="2">
        <v>1</v>
      </c>
      <c r="C72" s="2">
        <v>2</v>
      </c>
      <c r="D72" s="2">
        <v>12</v>
      </c>
      <c r="E72" s="2">
        <v>2</v>
      </c>
      <c r="F72" s="2">
        <v>35</v>
      </c>
      <c r="G72" s="2"/>
      <c r="H72" s="2"/>
    </row>
    <row r="73" spans="1:8">
      <c r="A73" s="2">
        <v>72</v>
      </c>
      <c r="B73" s="2">
        <v>1</v>
      </c>
      <c r="C73" s="2">
        <v>2</v>
      </c>
      <c r="D73" s="2">
        <v>12</v>
      </c>
      <c r="E73" s="2">
        <v>3</v>
      </c>
      <c r="F73" s="2">
        <v>32</v>
      </c>
      <c r="G73" s="2"/>
      <c r="H73" s="2"/>
    </row>
    <row r="74" spans="1:8">
      <c r="A74" s="2">
        <v>73</v>
      </c>
      <c r="B74" s="2">
        <v>2</v>
      </c>
      <c r="C74" s="2">
        <v>1</v>
      </c>
      <c r="D74" s="2">
        <v>1</v>
      </c>
      <c r="E74" s="2">
        <v>1</v>
      </c>
      <c r="F74" s="2">
        <v>18</v>
      </c>
      <c r="G74" s="2"/>
      <c r="H74" s="2"/>
    </row>
    <row r="75" spans="1:8">
      <c r="A75" s="2">
        <v>74</v>
      </c>
      <c r="B75" s="2">
        <v>2</v>
      </c>
      <c r="C75" s="2">
        <v>1</v>
      </c>
      <c r="D75" s="2">
        <v>1</v>
      </c>
      <c r="E75" s="2">
        <v>2</v>
      </c>
      <c r="F75" s="2">
        <v>18</v>
      </c>
      <c r="G75" s="2"/>
      <c r="H75" s="2"/>
    </row>
    <row r="76" spans="1:8">
      <c r="A76" s="2">
        <v>75</v>
      </c>
      <c r="B76" s="2">
        <v>2</v>
      </c>
      <c r="C76" s="2">
        <v>1</v>
      </c>
      <c r="D76" s="2">
        <v>1</v>
      </c>
      <c r="E76" s="2">
        <v>3</v>
      </c>
      <c r="F76" s="2">
        <v>18</v>
      </c>
      <c r="G76" s="2"/>
      <c r="H76" s="2"/>
    </row>
    <row r="77" spans="1:8">
      <c r="A77" s="2">
        <v>76</v>
      </c>
      <c r="B77" s="2">
        <v>2</v>
      </c>
      <c r="C77" s="2">
        <v>1</v>
      </c>
      <c r="D77" s="2">
        <v>2</v>
      </c>
      <c r="E77" s="2">
        <v>1</v>
      </c>
      <c r="F77" s="2">
        <v>18</v>
      </c>
      <c r="G77" s="2"/>
      <c r="H77" s="2"/>
    </row>
    <row r="78" spans="1:8">
      <c r="A78" s="2">
        <v>77</v>
      </c>
      <c r="B78" s="2">
        <v>2</v>
      </c>
      <c r="C78" s="2">
        <v>1</v>
      </c>
      <c r="D78" s="2">
        <v>2</v>
      </c>
      <c r="E78" s="2">
        <v>2</v>
      </c>
      <c r="F78" s="2">
        <v>18</v>
      </c>
      <c r="G78" s="2"/>
      <c r="H78" s="2"/>
    </row>
    <row r="79" spans="1:8">
      <c r="A79" s="2">
        <v>78</v>
      </c>
      <c r="B79" s="2">
        <v>2</v>
      </c>
      <c r="C79" s="2">
        <v>1</v>
      </c>
      <c r="D79" s="2">
        <v>2</v>
      </c>
      <c r="E79" s="2">
        <v>3</v>
      </c>
      <c r="F79" s="2">
        <v>18</v>
      </c>
      <c r="G79" s="2"/>
      <c r="H79" s="2"/>
    </row>
    <row r="80" spans="1:8">
      <c r="A80" s="2">
        <v>79</v>
      </c>
      <c r="B80" s="2">
        <v>2</v>
      </c>
      <c r="C80" s="2">
        <v>1</v>
      </c>
      <c r="D80" s="2">
        <v>3</v>
      </c>
      <c r="E80" s="2">
        <v>1</v>
      </c>
      <c r="F80" s="2">
        <v>18</v>
      </c>
      <c r="G80" s="2"/>
      <c r="H80" s="2"/>
    </row>
    <row r="81" spans="1:8">
      <c r="A81" s="2">
        <v>80</v>
      </c>
      <c r="B81" s="2">
        <v>2</v>
      </c>
      <c r="C81" s="2">
        <v>1</v>
      </c>
      <c r="D81" s="2">
        <v>3</v>
      </c>
      <c r="E81" s="2">
        <v>2</v>
      </c>
      <c r="F81" s="2">
        <v>18</v>
      </c>
      <c r="G81" s="2"/>
      <c r="H81" s="2"/>
    </row>
    <row r="82" spans="1:8">
      <c r="A82" s="2">
        <v>81</v>
      </c>
      <c r="B82" s="2">
        <v>2</v>
      </c>
      <c r="C82" s="2">
        <v>1</v>
      </c>
      <c r="D82" s="2">
        <v>3</v>
      </c>
      <c r="E82" s="2">
        <v>3</v>
      </c>
      <c r="F82" s="2">
        <v>18</v>
      </c>
      <c r="G82" s="2"/>
      <c r="H82" s="2"/>
    </row>
    <row r="83" spans="1:8">
      <c r="A83" s="2">
        <v>82</v>
      </c>
      <c r="B83" s="2">
        <v>2</v>
      </c>
      <c r="C83" s="2">
        <v>1</v>
      </c>
      <c r="D83" s="2">
        <v>4</v>
      </c>
      <c r="E83" s="2">
        <v>1</v>
      </c>
      <c r="F83" s="2">
        <v>18</v>
      </c>
      <c r="G83" s="2"/>
      <c r="H83" s="2"/>
    </row>
    <row r="84" spans="1:8">
      <c r="A84" s="2">
        <v>83</v>
      </c>
      <c r="B84" s="2">
        <v>2</v>
      </c>
      <c r="C84" s="2">
        <v>1</v>
      </c>
      <c r="D84" s="2">
        <v>4</v>
      </c>
      <c r="E84" s="2">
        <v>2</v>
      </c>
      <c r="F84" s="2">
        <v>18</v>
      </c>
      <c r="G84" s="2"/>
      <c r="H84" s="2"/>
    </row>
    <row r="85" spans="1:8">
      <c r="A85" s="2">
        <v>84</v>
      </c>
      <c r="B85" s="2">
        <v>2</v>
      </c>
      <c r="C85" s="2">
        <v>1</v>
      </c>
      <c r="D85" s="2">
        <v>4</v>
      </c>
      <c r="E85" s="2">
        <v>3</v>
      </c>
      <c r="F85" s="2">
        <v>18</v>
      </c>
      <c r="G85" s="2"/>
      <c r="H85" s="2"/>
    </row>
    <row r="86" spans="1:8">
      <c r="A86" s="2">
        <v>85</v>
      </c>
      <c r="B86" s="2">
        <v>2</v>
      </c>
      <c r="C86" s="2">
        <v>1</v>
      </c>
      <c r="D86" s="2">
        <v>5</v>
      </c>
      <c r="E86" s="2">
        <v>1</v>
      </c>
      <c r="F86" s="2">
        <v>18</v>
      </c>
      <c r="G86" s="2"/>
      <c r="H86" s="2"/>
    </row>
    <row r="87" spans="1:8">
      <c r="A87" s="2">
        <v>86</v>
      </c>
      <c r="B87" s="2">
        <v>2</v>
      </c>
      <c r="C87" s="2">
        <v>1</v>
      </c>
      <c r="D87" s="2">
        <v>5</v>
      </c>
      <c r="E87" s="2">
        <v>2</v>
      </c>
      <c r="F87" s="2">
        <v>18</v>
      </c>
      <c r="G87" s="2"/>
      <c r="H87" s="2"/>
    </row>
    <row r="88" spans="1:8">
      <c r="A88" s="2">
        <v>87</v>
      </c>
      <c r="B88" s="2">
        <v>2</v>
      </c>
      <c r="C88" s="2">
        <v>1</v>
      </c>
      <c r="D88" s="2">
        <v>5</v>
      </c>
      <c r="E88" s="2">
        <v>3</v>
      </c>
      <c r="F88" s="2">
        <v>18</v>
      </c>
      <c r="G88" s="2"/>
      <c r="H88" s="2"/>
    </row>
    <row r="89" spans="1:8">
      <c r="A89" s="2">
        <v>88</v>
      </c>
      <c r="B89" s="2">
        <v>2</v>
      </c>
      <c r="C89" s="2">
        <v>1</v>
      </c>
      <c r="D89" s="2">
        <v>6</v>
      </c>
      <c r="E89" s="2">
        <v>1</v>
      </c>
      <c r="F89" s="2">
        <v>18</v>
      </c>
      <c r="G89" s="2"/>
      <c r="H89" s="2"/>
    </row>
    <row r="90" spans="1:8">
      <c r="A90" s="2">
        <v>89</v>
      </c>
      <c r="B90" s="2">
        <v>2</v>
      </c>
      <c r="C90" s="2">
        <v>1</v>
      </c>
      <c r="D90" s="2">
        <v>6</v>
      </c>
      <c r="E90" s="2">
        <v>2</v>
      </c>
      <c r="F90" s="2">
        <v>18</v>
      </c>
      <c r="G90" s="2"/>
      <c r="H90" s="2"/>
    </row>
    <row r="91" spans="1:8">
      <c r="A91" s="2">
        <v>90</v>
      </c>
      <c r="B91" s="2">
        <v>2</v>
      </c>
      <c r="C91" s="2">
        <v>1</v>
      </c>
      <c r="D91" s="2">
        <v>6</v>
      </c>
      <c r="E91" s="2">
        <v>3</v>
      </c>
      <c r="F91" s="2">
        <v>18</v>
      </c>
      <c r="G91" s="2"/>
      <c r="H91" s="2"/>
    </row>
    <row r="92" spans="1:8">
      <c r="A92" s="2">
        <v>91</v>
      </c>
      <c r="B92" s="2">
        <v>2</v>
      </c>
      <c r="C92" s="2">
        <v>1</v>
      </c>
      <c r="D92" s="2">
        <v>7</v>
      </c>
      <c r="E92" s="2">
        <v>1</v>
      </c>
      <c r="F92" s="2">
        <v>22</v>
      </c>
      <c r="G92" s="2"/>
      <c r="H92" s="2"/>
    </row>
    <row r="93" spans="1:8">
      <c r="A93" s="2">
        <v>92</v>
      </c>
      <c r="B93" s="2">
        <v>2</v>
      </c>
      <c r="C93" s="2">
        <v>1</v>
      </c>
      <c r="D93" s="2">
        <v>7</v>
      </c>
      <c r="E93" s="2">
        <v>2</v>
      </c>
      <c r="F93" s="2">
        <v>22</v>
      </c>
      <c r="G93" s="2"/>
      <c r="H93" s="2"/>
    </row>
    <row r="94" spans="1:8">
      <c r="A94" s="2">
        <v>93</v>
      </c>
      <c r="B94" s="2">
        <v>2</v>
      </c>
      <c r="C94" s="2">
        <v>1</v>
      </c>
      <c r="D94" s="2">
        <v>7</v>
      </c>
      <c r="E94" s="2">
        <v>3</v>
      </c>
      <c r="F94" s="2">
        <v>22</v>
      </c>
      <c r="G94" s="2"/>
      <c r="H94" s="2"/>
    </row>
    <row r="95" spans="1:8">
      <c r="A95" s="2">
        <v>94</v>
      </c>
      <c r="B95" s="2">
        <v>2</v>
      </c>
      <c r="C95" s="2">
        <v>1</v>
      </c>
      <c r="D95" s="2">
        <v>8</v>
      </c>
      <c r="E95" s="2">
        <v>1</v>
      </c>
      <c r="F95" s="2">
        <v>22</v>
      </c>
      <c r="G95" s="2"/>
      <c r="H95" s="2"/>
    </row>
    <row r="96" spans="1:8">
      <c r="A96" s="2">
        <v>95</v>
      </c>
      <c r="B96" s="2">
        <v>2</v>
      </c>
      <c r="C96" s="2">
        <v>1</v>
      </c>
      <c r="D96" s="2">
        <v>8</v>
      </c>
      <c r="E96" s="2">
        <v>2</v>
      </c>
      <c r="F96" s="2">
        <v>22</v>
      </c>
      <c r="G96" s="2"/>
      <c r="H96" s="2"/>
    </row>
    <row r="97" spans="1:8">
      <c r="A97" s="2">
        <v>96</v>
      </c>
      <c r="B97" s="2">
        <v>2</v>
      </c>
      <c r="C97" s="2">
        <v>1</v>
      </c>
      <c r="D97" s="2">
        <v>8</v>
      </c>
      <c r="E97" s="2">
        <v>3</v>
      </c>
      <c r="F97" s="2">
        <v>22</v>
      </c>
      <c r="G97" s="2"/>
      <c r="H97" s="2"/>
    </row>
    <row r="98" spans="1:8">
      <c r="A98" s="2">
        <v>97</v>
      </c>
      <c r="B98" s="2">
        <v>2</v>
      </c>
      <c r="C98" s="2">
        <v>1</v>
      </c>
      <c r="D98" s="2">
        <v>9</v>
      </c>
      <c r="E98" s="2">
        <v>1</v>
      </c>
      <c r="F98" s="2">
        <v>22</v>
      </c>
      <c r="G98" s="2"/>
      <c r="H98" s="2"/>
    </row>
    <row r="99" spans="1:8">
      <c r="A99" s="2">
        <v>98</v>
      </c>
      <c r="B99" s="2">
        <v>2</v>
      </c>
      <c r="C99" s="2">
        <v>1</v>
      </c>
      <c r="D99" s="2">
        <v>9</v>
      </c>
      <c r="E99" s="2">
        <v>2</v>
      </c>
      <c r="F99" s="2">
        <v>22</v>
      </c>
      <c r="G99" s="2"/>
      <c r="H99" s="2"/>
    </row>
    <row r="100" spans="1:8">
      <c r="A100" s="2">
        <v>99</v>
      </c>
      <c r="B100" s="2">
        <v>2</v>
      </c>
      <c r="C100" s="2">
        <v>1</v>
      </c>
      <c r="D100" s="2">
        <v>9</v>
      </c>
      <c r="E100" s="2">
        <v>3</v>
      </c>
      <c r="F100" s="2">
        <v>22</v>
      </c>
      <c r="G100" s="2"/>
      <c r="H100" s="2"/>
    </row>
    <row r="101" spans="1:8">
      <c r="A101" s="2">
        <v>100</v>
      </c>
      <c r="B101" s="2">
        <v>2</v>
      </c>
      <c r="C101" s="2">
        <v>1</v>
      </c>
      <c r="D101" s="2">
        <v>10</v>
      </c>
      <c r="E101" s="2">
        <v>1</v>
      </c>
      <c r="F101" s="2">
        <v>22</v>
      </c>
      <c r="G101" s="2"/>
      <c r="H101" s="2"/>
    </row>
    <row r="102" spans="1:8">
      <c r="A102" s="2">
        <v>101</v>
      </c>
      <c r="B102" s="2">
        <v>2</v>
      </c>
      <c r="C102" s="2">
        <v>1</v>
      </c>
      <c r="D102" s="2">
        <v>10</v>
      </c>
      <c r="E102" s="2">
        <v>2</v>
      </c>
      <c r="F102" s="2">
        <v>22</v>
      </c>
      <c r="G102" s="2"/>
      <c r="H102" s="2"/>
    </row>
    <row r="103" spans="1:8">
      <c r="A103" s="2">
        <v>102</v>
      </c>
      <c r="B103" s="2">
        <v>2</v>
      </c>
      <c r="C103" s="2">
        <v>1</v>
      </c>
      <c r="D103" s="2">
        <v>10</v>
      </c>
      <c r="E103" s="2">
        <v>3</v>
      </c>
      <c r="F103" s="2">
        <v>22</v>
      </c>
      <c r="G103" s="2"/>
      <c r="H103" s="2"/>
    </row>
    <row r="104" spans="1:8">
      <c r="A104" s="2">
        <v>103</v>
      </c>
      <c r="B104" s="2">
        <v>2</v>
      </c>
      <c r="C104" s="2">
        <v>1</v>
      </c>
      <c r="D104" s="2">
        <v>11</v>
      </c>
      <c r="E104" s="2">
        <v>1</v>
      </c>
      <c r="F104" s="2">
        <v>27</v>
      </c>
      <c r="G104" s="2"/>
      <c r="H104" s="2"/>
    </row>
    <row r="105" spans="1:8">
      <c r="A105" s="2">
        <v>104</v>
      </c>
      <c r="B105" s="2">
        <v>2</v>
      </c>
      <c r="C105" s="2">
        <v>1</v>
      </c>
      <c r="D105" s="2">
        <v>11</v>
      </c>
      <c r="E105" s="2">
        <v>2</v>
      </c>
      <c r="F105" s="2">
        <v>27</v>
      </c>
      <c r="G105" s="2"/>
      <c r="H105" s="2"/>
    </row>
    <row r="106" spans="1:8">
      <c r="A106" s="2">
        <v>105</v>
      </c>
      <c r="B106" s="2">
        <v>2</v>
      </c>
      <c r="C106" s="2">
        <v>1</v>
      </c>
      <c r="D106" s="2">
        <v>11</v>
      </c>
      <c r="E106" s="2">
        <v>3</v>
      </c>
      <c r="F106" s="2">
        <v>27</v>
      </c>
      <c r="G106" s="2"/>
      <c r="H106" s="2"/>
    </row>
    <row r="107" spans="1:8">
      <c r="A107" s="2">
        <v>106</v>
      </c>
      <c r="B107" s="2">
        <v>2</v>
      </c>
      <c r="C107" s="2">
        <v>1</v>
      </c>
      <c r="D107" s="2">
        <v>12</v>
      </c>
      <c r="E107" s="2">
        <v>1</v>
      </c>
      <c r="F107" s="2">
        <v>30</v>
      </c>
      <c r="G107" s="2"/>
      <c r="H107" s="2"/>
    </row>
    <row r="108" spans="1:8">
      <c r="A108" s="2">
        <v>107</v>
      </c>
      <c r="B108" s="2">
        <v>2</v>
      </c>
      <c r="C108" s="2">
        <v>1</v>
      </c>
      <c r="D108" s="2">
        <v>12</v>
      </c>
      <c r="E108" s="2">
        <v>2</v>
      </c>
      <c r="F108" s="2">
        <v>30</v>
      </c>
      <c r="G108" s="2"/>
      <c r="H108" s="2"/>
    </row>
    <row r="109" spans="1:8">
      <c r="A109" s="2">
        <v>108</v>
      </c>
      <c r="B109" s="2">
        <v>2</v>
      </c>
      <c r="C109" s="2">
        <v>1</v>
      </c>
      <c r="D109" s="2">
        <v>12</v>
      </c>
      <c r="E109" s="2">
        <v>3</v>
      </c>
      <c r="F109" s="2">
        <v>30</v>
      </c>
      <c r="G109" s="2"/>
      <c r="H109" s="2"/>
    </row>
    <row r="110" spans="1:8">
      <c r="A110" s="2">
        <v>109</v>
      </c>
      <c r="B110" s="2">
        <v>2</v>
      </c>
      <c r="C110" s="2">
        <v>2</v>
      </c>
      <c r="D110" s="2">
        <v>1</v>
      </c>
      <c r="E110" s="2">
        <v>1</v>
      </c>
      <c r="F110" s="2">
        <v>15</v>
      </c>
      <c r="G110" s="2"/>
      <c r="H110" s="2"/>
    </row>
    <row r="111" spans="1:8">
      <c r="A111" s="2">
        <v>110</v>
      </c>
      <c r="B111" s="2">
        <v>2</v>
      </c>
      <c r="C111" s="2">
        <v>2</v>
      </c>
      <c r="D111" s="2">
        <v>1</v>
      </c>
      <c r="E111" s="2">
        <v>2</v>
      </c>
      <c r="F111" s="2">
        <v>15</v>
      </c>
      <c r="G111" s="2"/>
      <c r="H111" s="2"/>
    </row>
    <row r="112" spans="1:8">
      <c r="A112" s="2">
        <v>111</v>
      </c>
      <c r="B112" s="2">
        <v>2</v>
      </c>
      <c r="C112" s="2">
        <v>2</v>
      </c>
      <c r="D112" s="2">
        <v>1</v>
      </c>
      <c r="E112" s="2">
        <v>3</v>
      </c>
      <c r="F112" s="2">
        <v>15</v>
      </c>
      <c r="G112" s="2"/>
      <c r="H112" s="2"/>
    </row>
    <row r="113" spans="1:8">
      <c r="A113" s="2">
        <v>112</v>
      </c>
      <c r="B113" s="2">
        <v>2</v>
      </c>
      <c r="C113" s="2">
        <v>2</v>
      </c>
      <c r="D113" s="2">
        <v>2</v>
      </c>
      <c r="E113" s="2">
        <v>1</v>
      </c>
      <c r="F113" s="2">
        <v>15</v>
      </c>
      <c r="G113" s="2"/>
      <c r="H113" s="2"/>
    </row>
    <row r="114" spans="1:8">
      <c r="A114" s="2">
        <v>113</v>
      </c>
      <c r="B114" s="2">
        <v>2</v>
      </c>
      <c r="C114" s="2">
        <v>2</v>
      </c>
      <c r="D114" s="2">
        <v>2</v>
      </c>
      <c r="E114" s="2">
        <v>2</v>
      </c>
      <c r="F114" s="2">
        <v>15</v>
      </c>
      <c r="G114" s="2"/>
      <c r="H114" s="2"/>
    </row>
    <row r="115" spans="1:8">
      <c r="A115" s="2">
        <v>114</v>
      </c>
      <c r="B115" s="2">
        <v>2</v>
      </c>
      <c r="C115" s="2">
        <v>2</v>
      </c>
      <c r="D115" s="2">
        <v>2</v>
      </c>
      <c r="E115" s="2">
        <v>3</v>
      </c>
      <c r="F115" s="2">
        <v>15</v>
      </c>
      <c r="G115" s="2"/>
      <c r="H115" s="2"/>
    </row>
    <row r="116" spans="1:8">
      <c r="A116" s="2">
        <v>115</v>
      </c>
      <c r="B116" s="2">
        <v>2</v>
      </c>
      <c r="C116" s="2">
        <v>2</v>
      </c>
      <c r="D116" s="2">
        <v>3</v>
      </c>
      <c r="E116" s="2">
        <v>1</v>
      </c>
      <c r="F116" s="2">
        <v>15</v>
      </c>
      <c r="G116" s="2"/>
      <c r="H116" s="2"/>
    </row>
    <row r="117" spans="1:8">
      <c r="A117" s="2">
        <v>116</v>
      </c>
      <c r="B117" s="2">
        <v>2</v>
      </c>
      <c r="C117" s="2">
        <v>2</v>
      </c>
      <c r="D117" s="2">
        <v>3</v>
      </c>
      <c r="E117" s="2">
        <v>2</v>
      </c>
      <c r="F117" s="2">
        <v>15</v>
      </c>
      <c r="G117" s="2"/>
      <c r="H117" s="2"/>
    </row>
    <row r="118" spans="1:8">
      <c r="A118" s="2">
        <v>117</v>
      </c>
      <c r="B118" s="2">
        <v>2</v>
      </c>
      <c r="C118" s="2">
        <v>2</v>
      </c>
      <c r="D118" s="2">
        <v>3</v>
      </c>
      <c r="E118" s="2">
        <v>3</v>
      </c>
      <c r="F118" s="2">
        <v>15</v>
      </c>
      <c r="G118" s="2"/>
      <c r="H118" s="2"/>
    </row>
    <row r="119" spans="1:8">
      <c r="A119" s="2">
        <v>118</v>
      </c>
      <c r="B119" s="2">
        <v>2</v>
      </c>
      <c r="C119" s="2">
        <v>2</v>
      </c>
      <c r="D119" s="2">
        <v>4</v>
      </c>
      <c r="E119" s="2">
        <v>1</v>
      </c>
      <c r="F119" s="2">
        <v>15</v>
      </c>
      <c r="G119" s="2"/>
      <c r="H119" s="2"/>
    </row>
    <row r="120" spans="1:8">
      <c r="A120" s="2">
        <v>119</v>
      </c>
      <c r="B120" s="2">
        <v>2</v>
      </c>
      <c r="C120" s="2">
        <v>2</v>
      </c>
      <c r="D120" s="2">
        <v>4</v>
      </c>
      <c r="E120" s="2">
        <v>2</v>
      </c>
      <c r="F120" s="2">
        <v>15</v>
      </c>
      <c r="G120" s="2"/>
      <c r="H120" s="2"/>
    </row>
    <row r="121" spans="1:8">
      <c r="A121" s="2">
        <v>120</v>
      </c>
      <c r="B121" s="2">
        <v>2</v>
      </c>
      <c r="C121" s="2">
        <v>2</v>
      </c>
      <c r="D121" s="2">
        <v>4</v>
      </c>
      <c r="E121" s="2">
        <v>3</v>
      </c>
      <c r="F121" s="2">
        <v>15</v>
      </c>
      <c r="G121" s="2"/>
      <c r="H121" s="2"/>
    </row>
    <row r="122" spans="1:8">
      <c r="A122" s="2">
        <v>121</v>
      </c>
      <c r="B122" s="2">
        <v>2</v>
      </c>
      <c r="C122" s="2">
        <v>2</v>
      </c>
      <c r="D122" s="2">
        <v>5</v>
      </c>
      <c r="E122" s="2">
        <v>1</v>
      </c>
      <c r="F122" s="2">
        <v>15</v>
      </c>
      <c r="G122" s="2"/>
      <c r="H122" s="2"/>
    </row>
    <row r="123" spans="1:8">
      <c r="A123" s="2">
        <v>122</v>
      </c>
      <c r="B123" s="2">
        <v>2</v>
      </c>
      <c r="C123" s="2">
        <v>2</v>
      </c>
      <c r="D123" s="2">
        <v>5</v>
      </c>
      <c r="E123" s="2">
        <v>2</v>
      </c>
      <c r="F123" s="2">
        <v>15</v>
      </c>
      <c r="G123" s="2"/>
      <c r="H123" s="2"/>
    </row>
    <row r="124" spans="1:8">
      <c r="A124" s="2">
        <v>123</v>
      </c>
      <c r="B124" s="2">
        <v>2</v>
      </c>
      <c r="C124" s="2">
        <v>2</v>
      </c>
      <c r="D124" s="2">
        <v>5</v>
      </c>
      <c r="E124" s="2">
        <v>3</v>
      </c>
      <c r="F124" s="2">
        <v>15</v>
      </c>
      <c r="G124" s="2"/>
      <c r="H124" s="2"/>
    </row>
    <row r="125" spans="1:8">
      <c r="A125" s="2">
        <v>124</v>
      </c>
      <c r="B125" s="2">
        <v>2</v>
      </c>
      <c r="C125" s="2">
        <v>2</v>
      </c>
      <c r="D125" s="2">
        <v>6</v>
      </c>
      <c r="E125" s="2">
        <v>1</v>
      </c>
      <c r="F125" s="2">
        <v>15</v>
      </c>
      <c r="G125" s="2"/>
      <c r="H125" s="2"/>
    </row>
    <row r="126" spans="1:8">
      <c r="A126" s="2">
        <v>125</v>
      </c>
      <c r="B126" s="2">
        <v>2</v>
      </c>
      <c r="C126" s="2">
        <v>2</v>
      </c>
      <c r="D126" s="2">
        <v>6</v>
      </c>
      <c r="E126" s="2">
        <v>2</v>
      </c>
      <c r="F126" s="2">
        <v>15</v>
      </c>
      <c r="G126" s="2"/>
      <c r="H126" s="2"/>
    </row>
    <row r="127" spans="1:8">
      <c r="A127" s="2">
        <v>126</v>
      </c>
      <c r="B127" s="2">
        <v>2</v>
      </c>
      <c r="C127" s="2">
        <v>2</v>
      </c>
      <c r="D127" s="2">
        <v>6</v>
      </c>
      <c r="E127" s="2">
        <v>3</v>
      </c>
      <c r="F127" s="2">
        <v>15</v>
      </c>
      <c r="G127" s="2"/>
      <c r="H127" s="2"/>
    </row>
    <row r="128" spans="1:8">
      <c r="A128" s="2">
        <v>127</v>
      </c>
      <c r="B128" s="2">
        <v>2</v>
      </c>
      <c r="C128" s="2">
        <v>2</v>
      </c>
      <c r="D128" s="2">
        <v>7</v>
      </c>
      <c r="E128" s="2">
        <v>1</v>
      </c>
      <c r="F128" s="2">
        <v>18</v>
      </c>
      <c r="G128" s="2"/>
      <c r="H128" s="2"/>
    </row>
    <row r="129" spans="1:8">
      <c r="A129" s="2">
        <v>128</v>
      </c>
      <c r="B129" s="2">
        <v>2</v>
      </c>
      <c r="C129" s="2">
        <v>2</v>
      </c>
      <c r="D129" s="2">
        <v>7</v>
      </c>
      <c r="E129" s="2">
        <v>2</v>
      </c>
      <c r="F129" s="2">
        <v>18</v>
      </c>
      <c r="G129" s="2"/>
      <c r="H129" s="2"/>
    </row>
    <row r="130" spans="1:8">
      <c r="A130" s="2">
        <v>129</v>
      </c>
      <c r="B130" s="2">
        <v>2</v>
      </c>
      <c r="C130" s="2">
        <v>2</v>
      </c>
      <c r="D130" s="2">
        <v>7</v>
      </c>
      <c r="E130" s="2">
        <v>3</v>
      </c>
      <c r="F130" s="2">
        <v>18</v>
      </c>
      <c r="G130" s="2"/>
      <c r="H130" s="2"/>
    </row>
    <row r="131" spans="1:8">
      <c r="A131" s="2">
        <v>130</v>
      </c>
      <c r="B131" s="2">
        <v>2</v>
      </c>
      <c r="C131" s="2">
        <v>2</v>
      </c>
      <c r="D131" s="2">
        <v>8</v>
      </c>
      <c r="E131" s="2">
        <v>1</v>
      </c>
      <c r="F131" s="2">
        <v>18</v>
      </c>
      <c r="G131" s="2"/>
      <c r="H131" s="2"/>
    </row>
    <row r="132" spans="1:8">
      <c r="A132" s="2">
        <v>131</v>
      </c>
      <c r="B132" s="2">
        <v>2</v>
      </c>
      <c r="C132" s="2">
        <v>2</v>
      </c>
      <c r="D132" s="2">
        <v>8</v>
      </c>
      <c r="E132" s="2">
        <v>2</v>
      </c>
      <c r="F132" s="2">
        <v>18</v>
      </c>
      <c r="G132" s="2"/>
      <c r="H132" s="2"/>
    </row>
    <row r="133" spans="1:8">
      <c r="A133" s="2">
        <v>132</v>
      </c>
      <c r="B133" s="2">
        <v>2</v>
      </c>
      <c r="C133" s="2">
        <v>2</v>
      </c>
      <c r="D133" s="2">
        <v>8</v>
      </c>
      <c r="E133" s="2">
        <v>3</v>
      </c>
      <c r="F133" s="2">
        <v>18</v>
      </c>
      <c r="G133" s="2"/>
      <c r="H133" s="2"/>
    </row>
    <row r="134" spans="1:8">
      <c r="A134" s="2">
        <v>133</v>
      </c>
      <c r="B134" s="2">
        <v>2</v>
      </c>
      <c r="C134" s="2">
        <v>2</v>
      </c>
      <c r="D134" s="2">
        <v>9</v>
      </c>
      <c r="E134" s="2">
        <v>1</v>
      </c>
      <c r="F134" s="2">
        <v>18</v>
      </c>
      <c r="G134" s="2"/>
      <c r="H134" s="2"/>
    </row>
    <row r="135" spans="1:8">
      <c r="A135" s="2">
        <v>134</v>
      </c>
      <c r="B135" s="2">
        <v>2</v>
      </c>
      <c r="C135" s="2">
        <v>2</v>
      </c>
      <c r="D135" s="2">
        <v>9</v>
      </c>
      <c r="E135" s="2">
        <v>2</v>
      </c>
      <c r="F135" s="2">
        <v>18</v>
      </c>
      <c r="G135" s="2"/>
      <c r="H135" s="2"/>
    </row>
    <row r="136" spans="1:8">
      <c r="A136" s="2">
        <v>135</v>
      </c>
      <c r="B136" s="2">
        <v>2</v>
      </c>
      <c r="C136" s="2">
        <v>2</v>
      </c>
      <c r="D136" s="2">
        <v>9</v>
      </c>
      <c r="E136" s="2">
        <v>3</v>
      </c>
      <c r="F136" s="2">
        <v>18</v>
      </c>
      <c r="G136" s="2"/>
      <c r="H136" s="2"/>
    </row>
    <row r="137" spans="1:8">
      <c r="A137" s="2">
        <v>136</v>
      </c>
      <c r="B137" s="2">
        <v>2</v>
      </c>
      <c r="C137" s="2">
        <v>2</v>
      </c>
      <c r="D137" s="2">
        <v>10</v>
      </c>
      <c r="E137" s="2">
        <v>1</v>
      </c>
      <c r="F137" s="2">
        <v>18</v>
      </c>
      <c r="G137" s="2"/>
      <c r="H137" s="2"/>
    </row>
    <row r="138" spans="1:8">
      <c r="A138" s="2">
        <v>137</v>
      </c>
      <c r="B138" s="2">
        <v>2</v>
      </c>
      <c r="C138" s="2">
        <v>2</v>
      </c>
      <c r="D138" s="2">
        <v>10</v>
      </c>
      <c r="E138" s="2">
        <v>2</v>
      </c>
      <c r="F138" s="2">
        <v>18</v>
      </c>
      <c r="G138" s="2"/>
      <c r="H138" s="2"/>
    </row>
    <row r="139" spans="1:8">
      <c r="A139" s="2">
        <v>138</v>
      </c>
      <c r="B139" s="2">
        <v>2</v>
      </c>
      <c r="C139" s="2">
        <v>2</v>
      </c>
      <c r="D139" s="2">
        <v>10</v>
      </c>
      <c r="E139" s="2">
        <v>3</v>
      </c>
      <c r="F139" s="2">
        <v>18</v>
      </c>
      <c r="G139" s="2"/>
      <c r="H139" s="2"/>
    </row>
    <row r="140" spans="1:8">
      <c r="A140" s="2">
        <v>139</v>
      </c>
      <c r="B140" s="2">
        <v>2</v>
      </c>
      <c r="C140" s="2">
        <v>2</v>
      </c>
      <c r="D140" s="2">
        <v>11</v>
      </c>
      <c r="E140" s="2">
        <v>1</v>
      </c>
      <c r="F140" s="2">
        <v>23</v>
      </c>
      <c r="G140" s="2"/>
      <c r="H140" s="2"/>
    </row>
    <row r="141" spans="1:8">
      <c r="A141" s="2">
        <v>140</v>
      </c>
      <c r="B141" s="2">
        <v>2</v>
      </c>
      <c r="C141" s="2">
        <v>2</v>
      </c>
      <c r="D141" s="2">
        <v>11</v>
      </c>
      <c r="E141" s="2">
        <v>2</v>
      </c>
      <c r="F141" s="2">
        <v>23</v>
      </c>
      <c r="G141" s="2"/>
      <c r="H141" s="2"/>
    </row>
    <row r="142" spans="1:8">
      <c r="A142" s="2">
        <v>141</v>
      </c>
      <c r="B142" s="2">
        <v>2</v>
      </c>
      <c r="C142" s="2">
        <v>2</v>
      </c>
      <c r="D142" s="2">
        <v>11</v>
      </c>
      <c r="E142" s="2">
        <v>3</v>
      </c>
      <c r="F142" s="2">
        <v>23</v>
      </c>
      <c r="G142" s="2"/>
      <c r="H142" s="2"/>
    </row>
    <row r="143" spans="1:8">
      <c r="A143" s="2">
        <v>142</v>
      </c>
      <c r="B143" s="2">
        <v>2</v>
      </c>
      <c r="C143" s="2">
        <v>2</v>
      </c>
      <c r="D143" s="2">
        <v>12</v>
      </c>
      <c r="E143" s="2">
        <v>1</v>
      </c>
      <c r="F143" s="2">
        <v>26</v>
      </c>
      <c r="G143" s="2"/>
      <c r="H143" s="2"/>
    </row>
    <row r="144" spans="1:8">
      <c r="A144" s="2">
        <v>143</v>
      </c>
      <c r="B144" s="2">
        <v>2</v>
      </c>
      <c r="C144" s="2">
        <v>2</v>
      </c>
      <c r="D144" s="2">
        <v>12</v>
      </c>
      <c r="E144" s="2">
        <v>2</v>
      </c>
      <c r="F144" s="2">
        <v>26</v>
      </c>
      <c r="G144" s="2"/>
      <c r="H144" s="2"/>
    </row>
    <row r="145" spans="1:8">
      <c r="A145" s="2">
        <v>144</v>
      </c>
      <c r="B145" s="2">
        <v>2</v>
      </c>
      <c r="C145" s="2">
        <v>2</v>
      </c>
      <c r="D145" s="2">
        <v>12</v>
      </c>
      <c r="E145" s="2">
        <v>3</v>
      </c>
      <c r="F145" s="2">
        <v>26</v>
      </c>
      <c r="G145" s="2"/>
      <c r="H145" s="2"/>
    </row>
    <row r="146" spans="1:8">
      <c r="A146" s="2">
        <v>145</v>
      </c>
      <c r="B146" s="2">
        <v>3</v>
      </c>
      <c r="C146" s="2">
        <v>1</v>
      </c>
      <c r="D146" s="2">
        <v>1</v>
      </c>
      <c r="E146" s="2">
        <v>1</v>
      </c>
      <c r="F146" s="2">
        <v>33</v>
      </c>
      <c r="G146" s="2"/>
      <c r="H146" s="2"/>
    </row>
    <row r="147" spans="1:8">
      <c r="A147" s="2">
        <v>146</v>
      </c>
      <c r="B147" s="2">
        <v>3</v>
      </c>
      <c r="C147" s="2">
        <v>1</v>
      </c>
      <c r="D147" s="2">
        <v>1</v>
      </c>
      <c r="E147" s="2">
        <v>2</v>
      </c>
      <c r="F147" s="2">
        <v>22</v>
      </c>
      <c r="G147" s="2"/>
      <c r="H147" s="2"/>
    </row>
    <row r="148" spans="1:8">
      <c r="A148" s="2">
        <v>147</v>
      </c>
      <c r="B148" s="2">
        <v>3</v>
      </c>
      <c r="C148" s="2">
        <v>1</v>
      </c>
      <c r="D148" s="2">
        <v>1</v>
      </c>
      <c r="E148" s="2">
        <v>3</v>
      </c>
      <c r="F148" s="2">
        <v>18</v>
      </c>
      <c r="G148" s="2"/>
      <c r="H148" s="2"/>
    </row>
    <row r="149" spans="1:8">
      <c r="A149" s="2">
        <v>148</v>
      </c>
      <c r="B149" s="2">
        <v>3</v>
      </c>
      <c r="C149" s="2">
        <v>1</v>
      </c>
      <c r="D149" s="2">
        <v>2</v>
      </c>
      <c r="E149" s="2">
        <v>1</v>
      </c>
      <c r="F149" s="2">
        <v>33</v>
      </c>
      <c r="G149" s="2"/>
      <c r="H149" s="2"/>
    </row>
    <row r="150" spans="1:8">
      <c r="A150" s="2">
        <v>149</v>
      </c>
      <c r="B150" s="2">
        <v>3</v>
      </c>
      <c r="C150" s="2">
        <v>1</v>
      </c>
      <c r="D150" s="2">
        <v>2</v>
      </c>
      <c r="E150" s="2">
        <v>2</v>
      </c>
      <c r="F150" s="2">
        <v>22</v>
      </c>
      <c r="G150" s="2"/>
      <c r="H150" s="2"/>
    </row>
    <row r="151" spans="1:8">
      <c r="A151" s="2">
        <v>150</v>
      </c>
      <c r="B151" s="2">
        <v>3</v>
      </c>
      <c r="C151" s="2">
        <v>1</v>
      </c>
      <c r="D151" s="2">
        <v>2</v>
      </c>
      <c r="E151" s="2">
        <v>3</v>
      </c>
      <c r="F151" s="2">
        <v>18</v>
      </c>
      <c r="G151" s="2"/>
      <c r="H151" s="2"/>
    </row>
    <row r="152" spans="1:8">
      <c r="A152" s="2">
        <v>151</v>
      </c>
      <c r="B152" s="2">
        <v>3</v>
      </c>
      <c r="C152" s="2">
        <v>1</v>
      </c>
      <c r="D152" s="2">
        <v>3</v>
      </c>
      <c r="E152" s="2">
        <v>1</v>
      </c>
      <c r="F152" s="2">
        <v>33</v>
      </c>
      <c r="G152" s="2"/>
      <c r="H152" s="2"/>
    </row>
    <row r="153" spans="1:8">
      <c r="A153" s="2">
        <v>152</v>
      </c>
      <c r="B153" s="2">
        <v>3</v>
      </c>
      <c r="C153" s="2">
        <v>1</v>
      </c>
      <c r="D153" s="2">
        <v>3</v>
      </c>
      <c r="E153" s="2">
        <v>2</v>
      </c>
      <c r="F153" s="2">
        <v>22</v>
      </c>
      <c r="G153" s="2"/>
      <c r="H153" s="2"/>
    </row>
    <row r="154" spans="1:8">
      <c r="A154" s="2">
        <v>153</v>
      </c>
      <c r="B154" s="2">
        <v>3</v>
      </c>
      <c r="C154" s="2">
        <v>1</v>
      </c>
      <c r="D154" s="2">
        <v>3</v>
      </c>
      <c r="E154" s="2">
        <v>3</v>
      </c>
      <c r="F154" s="2">
        <v>18</v>
      </c>
      <c r="G154" s="2"/>
      <c r="H154" s="2"/>
    </row>
    <row r="155" spans="1:8">
      <c r="A155" s="2">
        <v>154</v>
      </c>
      <c r="B155" s="2">
        <v>3</v>
      </c>
      <c r="C155" s="2">
        <v>1</v>
      </c>
      <c r="D155" s="2">
        <v>4</v>
      </c>
      <c r="E155" s="2">
        <v>1</v>
      </c>
      <c r="F155" s="2">
        <v>33</v>
      </c>
      <c r="G155" s="2"/>
      <c r="H155" s="2"/>
    </row>
    <row r="156" spans="1:8">
      <c r="A156" s="2">
        <v>155</v>
      </c>
      <c r="B156" s="2">
        <v>3</v>
      </c>
      <c r="C156" s="2">
        <v>1</v>
      </c>
      <c r="D156" s="2">
        <v>4</v>
      </c>
      <c r="E156" s="2">
        <v>2</v>
      </c>
      <c r="F156" s="2">
        <v>22</v>
      </c>
      <c r="G156" s="2"/>
      <c r="H156" s="2"/>
    </row>
    <row r="157" spans="1:8">
      <c r="A157" s="2">
        <v>156</v>
      </c>
      <c r="B157" s="2">
        <v>3</v>
      </c>
      <c r="C157" s="2">
        <v>1</v>
      </c>
      <c r="D157" s="2">
        <v>4</v>
      </c>
      <c r="E157" s="2">
        <v>3</v>
      </c>
      <c r="F157" s="2">
        <v>18</v>
      </c>
      <c r="G157" s="2"/>
      <c r="H157" s="2"/>
    </row>
    <row r="158" spans="1:8">
      <c r="A158" s="2">
        <v>157</v>
      </c>
      <c r="B158" s="2">
        <v>3</v>
      </c>
      <c r="C158" s="2">
        <v>1</v>
      </c>
      <c r="D158" s="2">
        <v>5</v>
      </c>
      <c r="E158" s="2">
        <v>1</v>
      </c>
      <c r="F158" s="2">
        <v>33</v>
      </c>
      <c r="G158" s="2"/>
      <c r="H158" s="2"/>
    </row>
    <row r="159" spans="1:8">
      <c r="A159" s="2">
        <v>158</v>
      </c>
      <c r="B159" s="2">
        <v>3</v>
      </c>
      <c r="C159" s="2">
        <v>1</v>
      </c>
      <c r="D159" s="2">
        <v>5</v>
      </c>
      <c r="E159" s="2">
        <v>2</v>
      </c>
      <c r="F159" s="2">
        <v>22</v>
      </c>
      <c r="G159" s="2"/>
      <c r="H159" s="2"/>
    </row>
    <row r="160" spans="1:8">
      <c r="A160" s="2">
        <v>159</v>
      </c>
      <c r="B160" s="2">
        <v>3</v>
      </c>
      <c r="C160" s="2">
        <v>1</v>
      </c>
      <c r="D160" s="2">
        <v>5</v>
      </c>
      <c r="E160" s="2">
        <v>3</v>
      </c>
      <c r="F160" s="2">
        <v>18</v>
      </c>
      <c r="G160" s="2"/>
      <c r="H160" s="2"/>
    </row>
    <row r="161" spans="1:8">
      <c r="A161" s="2">
        <v>160</v>
      </c>
      <c r="B161" s="2">
        <v>3</v>
      </c>
      <c r="C161" s="2">
        <v>1</v>
      </c>
      <c r="D161" s="2">
        <v>6</v>
      </c>
      <c r="E161" s="2">
        <v>1</v>
      </c>
      <c r="F161" s="2">
        <v>33</v>
      </c>
      <c r="G161" s="2"/>
      <c r="H161" s="2"/>
    </row>
    <row r="162" spans="1:8">
      <c r="A162" s="2">
        <v>161</v>
      </c>
      <c r="B162" s="2">
        <v>3</v>
      </c>
      <c r="C162" s="2">
        <v>1</v>
      </c>
      <c r="D162" s="2">
        <v>6</v>
      </c>
      <c r="E162" s="2">
        <v>2</v>
      </c>
      <c r="F162" s="2">
        <v>22</v>
      </c>
      <c r="G162" s="2"/>
      <c r="H162" s="2"/>
    </row>
    <row r="163" spans="1:8">
      <c r="A163" s="2">
        <v>162</v>
      </c>
      <c r="B163" s="2">
        <v>3</v>
      </c>
      <c r="C163" s="2">
        <v>1</v>
      </c>
      <c r="D163" s="2">
        <v>6</v>
      </c>
      <c r="E163" s="2">
        <v>3</v>
      </c>
      <c r="F163" s="2">
        <v>18</v>
      </c>
      <c r="G163" s="2"/>
      <c r="H163" s="2"/>
    </row>
    <row r="164" spans="1:8">
      <c r="A164" s="2">
        <v>163</v>
      </c>
      <c r="B164" s="2">
        <v>3</v>
      </c>
      <c r="C164" s="2">
        <v>1</v>
      </c>
      <c r="D164" s="2">
        <v>7</v>
      </c>
      <c r="E164" s="2">
        <v>1</v>
      </c>
      <c r="F164" s="2">
        <v>35</v>
      </c>
      <c r="G164" s="2"/>
      <c r="H164" s="2"/>
    </row>
    <row r="165" spans="1:8">
      <c r="A165" s="2">
        <v>164</v>
      </c>
      <c r="B165" s="2">
        <v>3</v>
      </c>
      <c r="C165" s="2">
        <v>1</v>
      </c>
      <c r="D165" s="2">
        <v>7</v>
      </c>
      <c r="E165" s="2">
        <v>2</v>
      </c>
      <c r="F165" s="2">
        <v>26</v>
      </c>
      <c r="G165" s="2"/>
      <c r="H165" s="2"/>
    </row>
    <row r="166" spans="1:8">
      <c r="A166" s="2">
        <v>165</v>
      </c>
      <c r="B166" s="2">
        <v>3</v>
      </c>
      <c r="C166" s="2">
        <v>1</v>
      </c>
      <c r="D166" s="2">
        <v>7</v>
      </c>
      <c r="E166" s="2">
        <v>3</v>
      </c>
      <c r="F166" s="2">
        <v>22</v>
      </c>
      <c r="G166" s="2"/>
      <c r="H166" s="2"/>
    </row>
    <row r="167" spans="1:8">
      <c r="A167" s="2">
        <v>166</v>
      </c>
      <c r="B167" s="2">
        <v>3</v>
      </c>
      <c r="C167" s="2">
        <v>1</v>
      </c>
      <c r="D167" s="2">
        <v>8</v>
      </c>
      <c r="E167" s="2">
        <v>1</v>
      </c>
      <c r="F167" s="2">
        <v>35</v>
      </c>
      <c r="G167" s="2"/>
      <c r="H167" s="2"/>
    </row>
    <row r="168" spans="1:8">
      <c r="A168" s="2">
        <v>167</v>
      </c>
      <c r="B168" s="2">
        <v>3</v>
      </c>
      <c r="C168" s="2">
        <v>1</v>
      </c>
      <c r="D168" s="2">
        <v>8</v>
      </c>
      <c r="E168" s="2">
        <v>2</v>
      </c>
      <c r="F168" s="2">
        <v>26</v>
      </c>
      <c r="G168" s="2"/>
      <c r="H168" s="2"/>
    </row>
    <row r="169" spans="1:8">
      <c r="A169" s="2">
        <v>168</v>
      </c>
      <c r="B169" s="2">
        <v>3</v>
      </c>
      <c r="C169" s="2">
        <v>1</v>
      </c>
      <c r="D169" s="2">
        <v>8</v>
      </c>
      <c r="E169" s="2">
        <v>3</v>
      </c>
      <c r="F169" s="2">
        <v>22</v>
      </c>
      <c r="G169" s="2"/>
      <c r="H169" s="2"/>
    </row>
    <row r="170" spans="1:8">
      <c r="A170" s="2">
        <v>169</v>
      </c>
      <c r="B170" s="2">
        <v>3</v>
      </c>
      <c r="C170" s="2">
        <v>1</v>
      </c>
      <c r="D170" s="2">
        <v>9</v>
      </c>
      <c r="E170" s="2">
        <v>1</v>
      </c>
      <c r="F170" s="2">
        <v>35</v>
      </c>
      <c r="G170" s="2"/>
      <c r="H170" s="2"/>
    </row>
    <row r="171" spans="1:8">
      <c r="A171" s="2">
        <v>170</v>
      </c>
      <c r="B171" s="2">
        <v>3</v>
      </c>
      <c r="C171" s="2">
        <v>1</v>
      </c>
      <c r="D171" s="2">
        <v>9</v>
      </c>
      <c r="E171" s="2">
        <v>2</v>
      </c>
      <c r="F171" s="2">
        <v>26</v>
      </c>
      <c r="G171" s="2"/>
      <c r="H171" s="2"/>
    </row>
    <row r="172" spans="1:8">
      <c r="A172" s="2">
        <v>171</v>
      </c>
      <c r="B172" s="2">
        <v>3</v>
      </c>
      <c r="C172" s="2">
        <v>1</v>
      </c>
      <c r="D172" s="2">
        <v>9</v>
      </c>
      <c r="E172" s="2">
        <v>3</v>
      </c>
      <c r="F172" s="2">
        <v>22</v>
      </c>
      <c r="G172" s="2"/>
      <c r="H172" s="2"/>
    </row>
    <row r="173" spans="1:8">
      <c r="A173" s="2">
        <v>172</v>
      </c>
      <c r="B173" s="2">
        <v>3</v>
      </c>
      <c r="C173" s="2">
        <v>1</v>
      </c>
      <c r="D173" s="2">
        <v>10</v>
      </c>
      <c r="E173" s="2">
        <v>1</v>
      </c>
      <c r="F173" s="2">
        <v>35</v>
      </c>
      <c r="G173" s="2"/>
      <c r="H173" s="2"/>
    </row>
    <row r="174" spans="1:8">
      <c r="A174" s="2">
        <v>173</v>
      </c>
      <c r="B174" s="2">
        <v>3</v>
      </c>
      <c r="C174" s="2">
        <v>1</v>
      </c>
      <c r="D174" s="2">
        <v>10</v>
      </c>
      <c r="E174" s="2">
        <v>2</v>
      </c>
      <c r="F174" s="2">
        <v>26</v>
      </c>
      <c r="G174" s="2"/>
      <c r="H174" s="2"/>
    </row>
    <row r="175" spans="1:8">
      <c r="A175" s="2">
        <v>174</v>
      </c>
      <c r="B175" s="2">
        <v>3</v>
      </c>
      <c r="C175" s="2">
        <v>1</v>
      </c>
      <c r="D175" s="2">
        <v>10</v>
      </c>
      <c r="E175" s="2">
        <v>3</v>
      </c>
      <c r="F175" s="2">
        <v>22</v>
      </c>
      <c r="G175" s="2"/>
      <c r="H175" s="2"/>
    </row>
    <row r="176" spans="1:8">
      <c r="A176" s="2">
        <v>175</v>
      </c>
      <c r="B176" s="2">
        <v>3</v>
      </c>
      <c r="C176" s="2">
        <v>1</v>
      </c>
      <c r="D176" s="2">
        <v>11</v>
      </c>
      <c r="E176" s="2">
        <v>1</v>
      </c>
      <c r="F176" s="2">
        <v>41</v>
      </c>
      <c r="G176" s="2"/>
      <c r="H176" s="2"/>
    </row>
    <row r="177" spans="1:8">
      <c r="A177" s="2">
        <v>176</v>
      </c>
      <c r="B177" s="2">
        <v>3</v>
      </c>
      <c r="C177" s="2">
        <v>1</v>
      </c>
      <c r="D177" s="2">
        <v>11</v>
      </c>
      <c r="E177" s="2">
        <v>2</v>
      </c>
      <c r="F177" s="2">
        <v>31</v>
      </c>
      <c r="G177" s="2"/>
      <c r="H177" s="2"/>
    </row>
    <row r="178" spans="1:8">
      <c r="A178" s="2">
        <v>177</v>
      </c>
      <c r="B178" s="2">
        <v>3</v>
      </c>
      <c r="C178" s="2">
        <v>1</v>
      </c>
      <c r="D178" s="2">
        <v>11</v>
      </c>
      <c r="E178" s="2">
        <v>3</v>
      </c>
      <c r="F178" s="2">
        <v>27</v>
      </c>
      <c r="G178" s="2"/>
      <c r="H178" s="2"/>
    </row>
    <row r="179" spans="1:8">
      <c r="A179" s="2">
        <v>178</v>
      </c>
      <c r="B179" s="2">
        <v>3</v>
      </c>
      <c r="C179" s="2">
        <v>1</v>
      </c>
      <c r="D179" s="2">
        <v>12</v>
      </c>
      <c r="E179" s="2">
        <v>1</v>
      </c>
      <c r="F179" s="2">
        <v>45</v>
      </c>
      <c r="G179" s="2"/>
      <c r="H179" s="2"/>
    </row>
    <row r="180" spans="1:8">
      <c r="A180" s="2">
        <v>179</v>
      </c>
      <c r="B180" s="2">
        <v>3</v>
      </c>
      <c r="C180" s="2">
        <v>1</v>
      </c>
      <c r="D180" s="2">
        <v>12</v>
      </c>
      <c r="E180" s="2">
        <v>2</v>
      </c>
      <c r="F180" s="2">
        <v>34</v>
      </c>
      <c r="G180" s="2"/>
      <c r="H180" s="2"/>
    </row>
    <row r="181" spans="1:8">
      <c r="A181" s="2">
        <v>180</v>
      </c>
      <c r="B181" s="2">
        <v>3</v>
      </c>
      <c r="C181" s="2">
        <v>1</v>
      </c>
      <c r="D181" s="2">
        <v>12</v>
      </c>
      <c r="E181" s="2">
        <v>3</v>
      </c>
      <c r="F181" s="2">
        <v>30</v>
      </c>
      <c r="G181" s="2"/>
      <c r="H181" s="2"/>
    </row>
    <row r="182" spans="1:8">
      <c r="A182" s="2">
        <v>181</v>
      </c>
      <c r="B182" s="2">
        <v>3</v>
      </c>
      <c r="C182" s="2">
        <v>2</v>
      </c>
      <c r="D182" s="2">
        <v>1</v>
      </c>
      <c r="E182" s="2">
        <v>1</v>
      </c>
      <c r="F182" s="2">
        <v>26</v>
      </c>
      <c r="G182" s="2"/>
      <c r="H182" s="2"/>
    </row>
    <row r="183" spans="1:8">
      <c r="A183" s="2">
        <v>182</v>
      </c>
      <c r="B183" s="2">
        <v>3</v>
      </c>
      <c r="C183" s="2">
        <v>2</v>
      </c>
      <c r="D183" s="2">
        <v>1</v>
      </c>
      <c r="E183" s="2">
        <v>2</v>
      </c>
      <c r="F183" s="2">
        <v>19</v>
      </c>
      <c r="G183" s="2"/>
      <c r="H183" s="2"/>
    </row>
    <row r="184" spans="1:8">
      <c r="A184" s="2">
        <v>183</v>
      </c>
      <c r="B184" s="2">
        <v>3</v>
      </c>
      <c r="C184" s="2">
        <v>2</v>
      </c>
      <c r="D184" s="2">
        <v>1</v>
      </c>
      <c r="E184" s="2">
        <v>3</v>
      </c>
      <c r="F184" s="2">
        <v>15</v>
      </c>
      <c r="G184" s="2"/>
      <c r="H184" s="2"/>
    </row>
    <row r="185" spans="1:8">
      <c r="A185" s="2">
        <v>184</v>
      </c>
      <c r="B185" s="2">
        <v>3</v>
      </c>
      <c r="C185" s="2">
        <v>2</v>
      </c>
      <c r="D185" s="2">
        <v>2</v>
      </c>
      <c r="E185" s="2">
        <v>1</v>
      </c>
      <c r="F185" s="2">
        <v>26</v>
      </c>
      <c r="G185" s="2"/>
      <c r="H185" s="2"/>
    </row>
    <row r="186" spans="1:8">
      <c r="A186" s="2">
        <v>185</v>
      </c>
      <c r="B186" s="2">
        <v>3</v>
      </c>
      <c r="C186" s="2">
        <v>2</v>
      </c>
      <c r="D186" s="2">
        <v>2</v>
      </c>
      <c r="E186" s="2">
        <v>2</v>
      </c>
      <c r="F186" s="2">
        <v>19</v>
      </c>
      <c r="G186" s="2"/>
      <c r="H186" s="2"/>
    </row>
    <row r="187" spans="1:8">
      <c r="A187" s="2">
        <v>186</v>
      </c>
      <c r="B187" s="2">
        <v>3</v>
      </c>
      <c r="C187" s="2">
        <v>2</v>
      </c>
      <c r="D187" s="2">
        <v>2</v>
      </c>
      <c r="E187" s="2">
        <v>3</v>
      </c>
      <c r="F187" s="2">
        <v>15</v>
      </c>
      <c r="G187" s="2"/>
      <c r="H187" s="2"/>
    </row>
    <row r="188" spans="1:8">
      <c r="A188" s="2">
        <v>187</v>
      </c>
      <c r="B188" s="2">
        <v>3</v>
      </c>
      <c r="C188" s="2">
        <v>2</v>
      </c>
      <c r="D188" s="2">
        <v>3</v>
      </c>
      <c r="E188" s="2">
        <v>1</v>
      </c>
      <c r="F188" s="2">
        <v>26</v>
      </c>
      <c r="G188" s="2"/>
      <c r="H188" s="2"/>
    </row>
    <row r="189" spans="1:8">
      <c r="A189" s="2">
        <v>188</v>
      </c>
      <c r="B189" s="2">
        <v>3</v>
      </c>
      <c r="C189" s="2">
        <v>2</v>
      </c>
      <c r="D189" s="2">
        <v>3</v>
      </c>
      <c r="E189" s="2">
        <v>2</v>
      </c>
      <c r="F189" s="2">
        <v>19</v>
      </c>
      <c r="G189" s="2"/>
      <c r="H189" s="2"/>
    </row>
    <row r="190" spans="1:8">
      <c r="A190" s="2">
        <v>189</v>
      </c>
      <c r="B190" s="2">
        <v>3</v>
      </c>
      <c r="C190" s="2">
        <v>2</v>
      </c>
      <c r="D190" s="2">
        <v>3</v>
      </c>
      <c r="E190" s="2">
        <v>3</v>
      </c>
      <c r="F190" s="2">
        <v>15</v>
      </c>
      <c r="G190" s="2"/>
      <c r="H190" s="2"/>
    </row>
    <row r="191" spans="1:8">
      <c r="A191" s="2">
        <v>190</v>
      </c>
      <c r="B191" s="2">
        <v>3</v>
      </c>
      <c r="C191" s="2">
        <v>2</v>
      </c>
      <c r="D191" s="2">
        <v>4</v>
      </c>
      <c r="E191" s="2">
        <v>1</v>
      </c>
      <c r="F191" s="2">
        <v>26</v>
      </c>
      <c r="G191" s="2"/>
      <c r="H191" s="2"/>
    </row>
    <row r="192" spans="1:8">
      <c r="A192" s="2">
        <v>191</v>
      </c>
      <c r="B192" s="2">
        <v>3</v>
      </c>
      <c r="C192" s="2">
        <v>2</v>
      </c>
      <c r="D192" s="2">
        <v>4</v>
      </c>
      <c r="E192" s="2">
        <v>2</v>
      </c>
      <c r="F192" s="2">
        <v>19</v>
      </c>
      <c r="G192" s="2"/>
      <c r="H192" s="2"/>
    </row>
    <row r="193" spans="1:8">
      <c r="A193" s="2">
        <v>192</v>
      </c>
      <c r="B193" s="2">
        <v>3</v>
      </c>
      <c r="C193" s="2">
        <v>2</v>
      </c>
      <c r="D193" s="2">
        <v>4</v>
      </c>
      <c r="E193" s="2">
        <v>3</v>
      </c>
      <c r="F193" s="2">
        <v>15</v>
      </c>
      <c r="G193" s="2"/>
      <c r="H193" s="2"/>
    </row>
    <row r="194" spans="1:8">
      <c r="A194" s="2">
        <v>193</v>
      </c>
      <c r="B194" s="2">
        <v>3</v>
      </c>
      <c r="C194" s="2">
        <v>2</v>
      </c>
      <c r="D194" s="2">
        <v>5</v>
      </c>
      <c r="E194" s="2">
        <v>1</v>
      </c>
      <c r="F194" s="2">
        <v>26</v>
      </c>
      <c r="G194" s="2"/>
      <c r="H194" s="2"/>
    </row>
    <row r="195" spans="1:8">
      <c r="A195" s="2">
        <v>194</v>
      </c>
      <c r="B195" s="2">
        <v>3</v>
      </c>
      <c r="C195" s="2">
        <v>2</v>
      </c>
      <c r="D195" s="2">
        <v>5</v>
      </c>
      <c r="E195" s="2">
        <v>2</v>
      </c>
      <c r="F195" s="2">
        <v>19</v>
      </c>
      <c r="G195" s="2"/>
      <c r="H195" s="2"/>
    </row>
    <row r="196" spans="1:8">
      <c r="A196" s="2">
        <v>195</v>
      </c>
      <c r="B196" s="2">
        <v>3</v>
      </c>
      <c r="C196" s="2">
        <v>2</v>
      </c>
      <c r="D196" s="2">
        <v>5</v>
      </c>
      <c r="E196" s="2">
        <v>3</v>
      </c>
      <c r="F196" s="2">
        <v>15</v>
      </c>
      <c r="G196" s="2"/>
      <c r="H196" s="2"/>
    </row>
    <row r="197" spans="1:8">
      <c r="A197" s="2">
        <v>196</v>
      </c>
      <c r="B197" s="2">
        <v>3</v>
      </c>
      <c r="C197" s="2">
        <v>2</v>
      </c>
      <c r="D197" s="2">
        <v>6</v>
      </c>
      <c r="E197" s="2">
        <v>1</v>
      </c>
      <c r="F197" s="2">
        <v>26</v>
      </c>
      <c r="G197" s="2"/>
      <c r="H197" s="2"/>
    </row>
    <row r="198" spans="1:8">
      <c r="A198" s="2">
        <v>197</v>
      </c>
      <c r="B198" s="2">
        <v>3</v>
      </c>
      <c r="C198" s="2">
        <v>2</v>
      </c>
      <c r="D198" s="2">
        <v>6</v>
      </c>
      <c r="E198" s="2">
        <v>2</v>
      </c>
      <c r="F198" s="2">
        <v>19</v>
      </c>
      <c r="G198" s="2"/>
      <c r="H198" s="2"/>
    </row>
    <row r="199" spans="1:8">
      <c r="A199" s="2">
        <v>198</v>
      </c>
      <c r="B199" s="2">
        <v>3</v>
      </c>
      <c r="C199" s="2">
        <v>2</v>
      </c>
      <c r="D199" s="2">
        <v>6</v>
      </c>
      <c r="E199" s="2">
        <v>3</v>
      </c>
      <c r="F199" s="2">
        <v>15</v>
      </c>
      <c r="G199" s="2"/>
      <c r="H199" s="2"/>
    </row>
    <row r="200" spans="1:8">
      <c r="A200" s="2">
        <v>199</v>
      </c>
      <c r="B200" s="2">
        <v>3</v>
      </c>
      <c r="C200" s="2">
        <v>2</v>
      </c>
      <c r="D200" s="2">
        <v>7</v>
      </c>
      <c r="E200" s="2">
        <v>1</v>
      </c>
      <c r="F200" s="2">
        <v>28</v>
      </c>
      <c r="G200" s="2"/>
      <c r="H200" s="2"/>
    </row>
    <row r="201" spans="1:8">
      <c r="A201" s="2">
        <v>200</v>
      </c>
      <c r="B201" s="2">
        <v>3</v>
      </c>
      <c r="C201" s="2">
        <v>2</v>
      </c>
      <c r="D201" s="2">
        <v>7</v>
      </c>
      <c r="E201" s="2">
        <v>2</v>
      </c>
      <c r="F201" s="2">
        <v>22</v>
      </c>
      <c r="G201" s="2"/>
      <c r="H201" s="2"/>
    </row>
    <row r="202" spans="1:8">
      <c r="A202" s="2">
        <v>201</v>
      </c>
      <c r="B202" s="2">
        <v>3</v>
      </c>
      <c r="C202" s="2">
        <v>2</v>
      </c>
      <c r="D202" s="2">
        <v>7</v>
      </c>
      <c r="E202" s="2">
        <v>3</v>
      </c>
      <c r="F202" s="2">
        <v>18</v>
      </c>
      <c r="G202" s="2"/>
      <c r="H202" s="2"/>
    </row>
    <row r="203" spans="1:8">
      <c r="A203" s="2">
        <v>202</v>
      </c>
      <c r="B203" s="2">
        <v>3</v>
      </c>
      <c r="C203" s="2">
        <v>2</v>
      </c>
      <c r="D203" s="2">
        <v>8</v>
      </c>
      <c r="E203" s="2">
        <v>1</v>
      </c>
      <c r="F203" s="2">
        <v>28</v>
      </c>
      <c r="G203" s="2"/>
      <c r="H203" s="2"/>
    </row>
    <row r="204" spans="1:8">
      <c r="A204" s="2">
        <v>203</v>
      </c>
      <c r="B204" s="2">
        <v>3</v>
      </c>
      <c r="C204" s="2">
        <v>2</v>
      </c>
      <c r="D204" s="2">
        <v>8</v>
      </c>
      <c r="E204" s="2">
        <v>2</v>
      </c>
      <c r="F204" s="2">
        <v>22</v>
      </c>
      <c r="G204" s="2"/>
      <c r="H204" s="2"/>
    </row>
    <row r="205" spans="1:8">
      <c r="A205" s="2">
        <v>204</v>
      </c>
      <c r="B205" s="2">
        <v>3</v>
      </c>
      <c r="C205" s="2">
        <v>2</v>
      </c>
      <c r="D205" s="2">
        <v>8</v>
      </c>
      <c r="E205" s="2">
        <v>3</v>
      </c>
      <c r="F205" s="2">
        <v>18</v>
      </c>
      <c r="G205" s="2"/>
      <c r="H205" s="2"/>
    </row>
    <row r="206" spans="1:8">
      <c r="A206" s="2">
        <v>205</v>
      </c>
      <c r="B206" s="2">
        <v>3</v>
      </c>
      <c r="C206" s="2">
        <v>2</v>
      </c>
      <c r="D206" s="2">
        <v>9</v>
      </c>
      <c r="E206" s="2">
        <v>1</v>
      </c>
      <c r="F206" s="2">
        <v>28</v>
      </c>
      <c r="G206" s="2"/>
      <c r="H206" s="2"/>
    </row>
    <row r="207" spans="1:8">
      <c r="A207" s="2">
        <v>206</v>
      </c>
      <c r="B207" s="2">
        <v>3</v>
      </c>
      <c r="C207" s="2">
        <v>2</v>
      </c>
      <c r="D207" s="2">
        <v>9</v>
      </c>
      <c r="E207" s="2">
        <v>2</v>
      </c>
      <c r="F207" s="2">
        <v>22</v>
      </c>
      <c r="G207" s="2"/>
      <c r="H207" s="2"/>
    </row>
    <row r="208" spans="1:8">
      <c r="A208" s="2">
        <v>207</v>
      </c>
      <c r="B208" s="2">
        <v>3</v>
      </c>
      <c r="C208" s="2">
        <v>2</v>
      </c>
      <c r="D208" s="2">
        <v>9</v>
      </c>
      <c r="E208" s="2">
        <v>3</v>
      </c>
      <c r="F208" s="2">
        <v>18</v>
      </c>
      <c r="G208" s="2"/>
      <c r="H208" s="2"/>
    </row>
    <row r="209" spans="1:8">
      <c r="A209" s="2">
        <v>208</v>
      </c>
      <c r="B209" s="2">
        <v>3</v>
      </c>
      <c r="C209" s="2">
        <v>2</v>
      </c>
      <c r="D209" s="2">
        <v>10</v>
      </c>
      <c r="E209" s="2">
        <v>1</v>
      </c>
      <c r="F209" s="2">
        <v>28</v>
      </c>
      <c r="G209" s="2"/>
      <c r="H209" s="2"/>
    </row>
    <row r="210" spans="1:8">
      <c r="A210" s="2">
        <v>209</v>
      </c>
      <c r="B210" s="2">
        <v>3</v>
      </c>
      <c r="C210" s="2">
        <v>2</v>
      </c>
      <c r="D210" s="2">
        <v>10</v>
      </c>
      <c r="E210" s="2">
        <v>2</v>
      </c>
      <c r="F210" s="2">
        <v>22</v>
      </c>
      <c r="G210" s="2"/>
      <c r="H210" s="2"/>
    </row>
    <row r="211" spans="1:8">
      <c r="A211" s="2">
        <v>210</v>
      </c>
      <c r="B211" s="2">
        <v>3</v>
      </c>
      <c r="C211" s="2">
        <v>2</v>
      </c>
      <c r="D211" s="2">
        <v>10</v>
      </c>
      <c r="E211" s="2">
        <v>3</v>
      </c>
      <c r="F211" s="2">
        <v>18</v>
      </c>
      <c r="G211" s="2"/>
      <c r="H211" s="2"/>
    </row>
    <row r="212" spans="1:8">
      <c r="A212" s="2">
        <v>211</v>
      </c>
      <c r="B212" s="2">
        <v>3</v>
      </c>
      <c r="C212" s="2">
        <v>2</v>
      </c>
      <c r="D212" s="2">
        <v>11</v>
      </c>
      <c r="E212" s="2">
        <v>1</v>
      </c>
      <c r="F212" s="2">
        <v>33</v>
      </c>
      <c r="G212" s="2"/>
      <c r="H212" s="2"/>
    </row>
    <row r="213" spans="1:8">
      <c r="A213" s="2">
        <v>212</v>
      </c>
      <c r="B213" s="2">
        <v>3</v>
      </c>
      <c r="C213" s="2">
        <v>2</v>
      </c>
      <c r="D213" s="2">
        <v>11</v>
      </c>
      <c r="E213" s="2">
        <v>2</v>
      </c>
      <c r="F213" s="2">
        <v>27</v>
      </c>
      <c r="G213" s="2"/>
      <c r="H213" s="2"/>
    </row>
    <row r="214" spans="1:8">
      <c r="A214" s="2">
        <v>213</v>
      </c>
      <c r="B214" s="2">
        <v>3</v>
      </c>
      <c r="C214" s="2">
        <v>2</v>
      </c>
      <c r="D214" s="2">
        <v>11</v>
      </c>
      <c r="E214" s="2">
        <v>3</v>
      </c>
      <c r="F214" s="2">
        <v>23</v>
      </c>
      <c r="G214" s="2"/>
      <c r="H214" s="2"/>
    </row>
    <row r="215" spans="1:8">
      <c r="A215" s="2">
        <v>214</v>
      </c>
      <c r="B215" s="2">
        <v>3</v>
      </c>
      <c r="C215" s="2">
        <v>2</v>
      </c>
      <c r="D215" s="2">
        <v>12</v>
      </c>
      <c r="E215" s="2">
        <v>1</v>
      </c>
      <c r="F215" s="2">
        <v>38</v>
      </c>
      <c r="G215" s="2"/>
      <c r="H215" s="2"/>
    </row>
    <row r="216" spans="1:8">
      <c r="A216" s="2">
        <v>215</v>
      </c>
      <c r="B216" s="2">
        <v>3</v>
      </c>
      <c r="C216" s="2">
        <v>2</v>
      </c>
      <c r="D216" s="2">
        <v>12</v>
      </c>
      <c r="E216" s="2">
        <v>2</v>
      </c>
      <c r="F216" s="2">
        <v>30</v>
      </c>
      <c r="G216" s="2"/>
      <c r="H216" s="2"/>
    </row>
    <row r="217" spans="1:8">
      <c r="A217" s="2">
        <v>216</v>
      </c>
      <c r="B217" s="2">
        <v>3</v>
      </c>
      <c r="C217" s="2">
        <v>2</v>
      </c>
      <c r="D217" s="2">
        <v>12</v>
      </c>
      <c r="E217" s="2">
        <v>3</v>
      </c>
      <c r="F217" s="2">
        <v>26</v>
      </c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A4E8-052A-4134-AB91-9ECF09A3FDC7}">
  <dimension ref="A1:G289"/>
  <sheetViews>
    <sheetView workbookViewId="0">
      <selection activeCell="D50" sqref="D50:E52"/>
    </sheetView>
  </sheetViews>
  <sheetFormatPr defaultColWidth="11.42578125" defaultRowHeight="14.45"/>
  <cols>
    <col min="1" max="1" width="17" customWidth="1"/>
    <col min="2" max="2" width="19.140625" customWidth="1"/>
    <col min="3" max="4" width="15.5703125" customWidth="1"/>
    <col min="5" max="5" width="14.42578125" customWidth="1"/>
  </cols>
  <sheetData>
    <row r="1" spans="1:7">
      <c r="A1" s="2" t="s">
        <v>42</v>
      </c>
      <c r="B1" s="2" t="s">
        <v>40</v>
      </c>
      <c r="C1" s="2" t="s">
        <v>36</v>
      </c>
      <c r="D1" s="2" t="s">
        <v>38</v>
      </c>
      <c r="E1" s="2" t="s">
        <v>33</v>
      </c>
      <c r="F1" s="2" t="s">
        <v>25</v>
      </c>
      <c r="G1" s="2" t="s">
        <v>41</v>
      </c>
    </row>
    <row r="2" spans="1:7">
      <c r="A2" s="2">
        <v>1</v>
      </c>
      <c r="B2" s="2">
        <v>1</v>
      </c>
      <c r="C2" s="2">
        <v>3</v>
      </c>
      <c r="D2" s="2">
        <v>4</v>
      </c>
      <c r="E2" s="2">
        <v>1</v>
      </c>
      <c r="F2" s="2">
        <v>1</v>
      </c>
      <c r="G2" s="2">
        <v>50</v>
      </c>
    </row>
    <row r="3" spans="1:7">
      <c r="A3" s="2">
        <v>2</v>
      </c>
      <c r="B3" s="2">
        <v>1</v>
      </c>
      <c r="C3" s="2">
        <v>3</v>
      </c>
      <c r="D3" s="2">
        <v>4</v>
      </c>
      <c r="E3" s="2">
        <v>1</v>
      </c>
      <c r="F3" s="2">
        <v>2</v>
      </c>
      <c r="G3" s="2">
        <v>45</v>
      </c>
    </row>
    <row r="4" spans="1:7">
      <c r="A4" s="2">
        <v>3</v>
      </c>
      <c r="B4" s="2">
        <v>1</v>
      </c>
      <c r="C4" s="2">
        <v>3</v>
      </c>
      <c r="D4" s="2">
        <v>4</v>
      </c>
      <c r="E4" s="2">
        <v>1</v>
      </c>
      <c r="F4" s="2">
        <v>3</v>
      </c>
      <c r="G4" s="2">
        <v>40</v>
      </c>
    </row>
    <row r="5" spans="1:7">
      <c r="A5" s="2">
        <v>4</v>
      </c>
      <c r="B5" s="2">
        <v>1</v>
      </c>
      <c r="C5" s="2">
        <v>3</v>
      </c>
      <c r="D5" s="2">
        <v>4</v>
      </c>
      <c r="E5" s="2">
        <v>2</v>
      </c>
      <c r="F5" s="2">
        <v>1</v>
      </c>
      <c r="G5" s="2">
        <v>50</v>
      </c>
    </row>
    <row r="6" spans="1:7">
      <c r="A6" s="2">
        <v>5</v>
      </c>
      <c r="B6" s="2">
        <v>1</v>
      </c>
      <c r="C6" s="2">
        <v>3</v>
      </c>
      <c r="D6" s="2">
        <v>4</v>
      </c>
      <c r="E6" s="2">
        <v>2</v>
      </c>
      <c r="F6" s="2">
        <v>2</v>
      </c>
      <c r="G6" s="2">
        <v>45</v>
      </c>
    </row>
    <row r="7" spans="1:7">
      <c r="A7" s="2">
        <v>6</v>
      </c>
      <c r="B7" s="2">
        <v>1</v>
      </c>
      <c r="C7" s="2">
        <v>3</v>
      </c>
      <c r="D7" s="2">
        <v>4</v>
      </c>
      <c r="E7" s="2">
        <v>2</v>
      </c>
      <c r="F7" s="2">
        <v>3</v>
      </c>
      <c r="G7" s="2">
        <v>40</v>
      </c>
    </row>
    <row r="8" spans="1:7">
      <c r="A8" s="2">
        <v>7</v>
      </c>
      <c r="B8" s="2">
        <v>1</v>
      </c>
      <c r="C8" s="2">
        <v>3</v>
      </c>
      <c r="D8" s="2">
        <v>4</v>
      </c>
      <c r="E8" s="2">
        <v>3</v>
      </c>
      <c r="F8" s="2">
        <v>1</v>
      </c>
      <c r="G8" s="2">
        <v>50</v>
      </c>
    </row>
    <row r="9" spans="1:7">
      <c r="A9" s="2">
        <v>8</v>
      </c>
      <c r="B9" s="2">
        <v>1</v>
      </c>
      <c r="C9" s="2">
        <v>3</v>
      </c>
      <c r="D9" s="2">
        <v>4</v>
      </c>
      <c r="E9" s="2">
        <v>3</v>
      </c>
      <c r="F9" s="2">
        <v>2</v>
      </c>
      <c r="G9" s="2">
        <v>45</v>
      </c>
    </row>
    <row r="10" spans="1:7">
      <c r="A10" s="2">
        <v>9</v>
      </c>
      <c r="B10" s="2">
        <v>1</v>
      </c>
      <c r="C10" s="2">
        <v>3</v>
      </c>
      <c r="D10" s="2">
        <v>4</v>
      </c>
      <c r="E10" s="2">
        <v>3</v>
      </c>
      <c r="F10" s="2">
        <v>3</v>
      </c>
      <c r="G10" s="2">
        <v>40</v>
      </c>
    </row>
    <row r="11" spans="1:7">
      <c r="A11" s="2">
        <v>10</v>
      </c>
      <c r="B11" s="2">
        <v>1</v>
      </c>
      <c r="C11" s="2">
        <v>3</v>
      </c>
      <c r="D11" s="2">
        <v>4</v>
      </c>
      <c r="E11" s="2">
        <v>4</v>
      </c>
      <c r="F11" s="2">
        <v>1</v>
      </c>
      <c r="G11" s="2">
        <v>50</v>
      </c>
    </row>
    <row r="12" spans="1:7">
      <c r="A12" s="2">
        <v>11</v>
      </c>
      <c r="B12" s="2">
        <v>1</v>
      </c>
      <c r="C12" s="2">
        <v>3</v>
      </c>
      <c r="D12" s="2">
        <v>4</v>
      </c>
      <c r="E12" s="2">
        <v>4</v>
      </c>
      <c r="F12" s="2">
        <v>2</v>
      </c>
      <c r="G12" s="2">
        <v>45</v>
      </c>
    </row>
    <row r="13" spans="1:7">
      <c r="A13" s="2">
        <v>12</v>
      </c>
      <c r="B13" s="2">
        <v>1</v>
      </c>
      <c r="C13" s="2">
        <v>3</v>
      </c>
      <c r="D13" s="2">
        <v>4</v>
      </c>
      <c r="E13" s="2">
        <v>4</v>
      </c>
      <c r="F13" s="2">
        <v>3</v>
      </c>
      <c r="G13" s="2">
        <v>40</v>
      </c>
    </row>
    <row r="14" spans="1:7">
      <c r="A14" s="2">
        <v>13</v>
      </c>
      <c r="B14" s="2">
        <v>1</v>
      </c>
      <c r="C14" s="2">
        <v>3</v>
      </c>
      <c r="D14" s="2">
        <v>4</v>
      </c>
      <c r="E14" s="2">
        <v>5</v>
      </c>
      <c r="F14" s="2">
        <v>1</v>
      </c>
      <c r="G14" s="2">
        <v>50</v>
      </c>
    </row>
    <row r="15" spans="1:7">
      <c r="A15" s="2">
        <v>14</v>
      </c>
      <c r="B15" s="2">
        <v>1</v>
      </c>
      <c r="C15" s="2">
        <v>3</v>
      </c>
      <c r="D15" s="2">
        <v>4</v>
      </c>
      <c r="E15" s="2">
        <v>5</v>
      </c>
      <c r="F15" s="2">
        <v>2</v>
      </c>
      <c r="G15" s="2">
        <v>45</v>
      </c>
    </row>
    <row r="16" spans="1:7">
      <c r="A16" s="2">
        <v>15</v>
      </c>
      <c r="B16" s="2">
        <v>1</v>
      </c>
      <c r="C16" s="2">
        <v>3</v>
      </c>
      <c r="D16" s="2">
        <v>4</v>
      </c>
      <c r="E16" s="2">
        <v>5</v>
      </c>
      <c r="F16" s="2">
        <v>3</v>
      </c>
      <c r="G16" s="2">
        <v>40</v>
      </c>
    </row>
    <row r="17" spans="1:7">
      <c r="A17" s="2">
        <v>16</v>
      </c>
      <c r="B17" s="2">
        <v>1</v>
      </c>
      <c r="C17" s="2">
        <v>3</v>
      </c>
      <c r="D17" s="2">
        <v>4</v>
      </c>
      <c r="E17" s="2">
        <v>6</v>
      </c>
      <c r="F17" s="2">
        <v>1</v>
      </c>
      <c r="G17" s="2">
        <v>50</v>
      </c>
    </row>
    <row r="18" spans="1:7">
      <c r="A18" s="2">
        <v>17</v>
      </c>
      <c r="B18" s="2">
        <v>1</v>
      </c>
      <c r="C18" s="2">
        <v>3</v>
      </c>
      <c r="D18" s="2">
        <v>4</v>
      </c>
      <c r="E18" s="2">
        <v>6</v>
      </c>
      <c r="F18" s="2">
        <v>2</v>
      </c>
      <c r="G18" s="2">
        <v>45</v>
      </c>
    </row>
    <row r="19" spans="1:7">
      <c r="A19" s="2">
        <v>18</v>
      </c>
      <c r="B19" s="2">
        <v>1</v>
      </c>
      <c r="C19" s="2">
        <v>3</v>
      </c>
      <c r="D19" s="2">
        <v>4</v>
      </c>
      <c r="E19" s="2">
        <v>6</v>
      </c>
      <c r="F19" s="2">
        <v>3</v>
      </c>
      <c r="G19" s="2">
        <v>40</v>
      </c>
    </row>
    <row r="20" spans="1:7">
      <c r="A20" s="2">
        <v>19</v>
      </c>
      <c r="B20" s="2">
        <v>1</v>
      </c>
      <c r="C20" s="2">
        <v>3</v>
      </c>
      <c r="D20" s="2">
        <v>4</v>
      </c>
      <c r="E20" s="2">
        <v>7</v>
      </c>
      <c r="F20" s="2">
        <v>1</v>
      </c>
      <c r="G20" s="2">
        <v>55</v>
      </c>
    </row>
    <row r="21" spans="1:7">
      <c r="A21" s="2">
        <v>20</v>
      </c>
      <c r="B21" s="2">
        <v>1</v>
      </c>
      <c r="C21" s="2">
        <v>3</v>
      </c>
      <c r="D21" s="2">
        <v>4</v>
      </c>
      <c r="E21" s="2">
        <v>7</v>
      </c>
      <c r="F21" s="2">
        <v>2</v>
      </c>
      <c r="G21" s="2">
        <v>50</v>
      </c>
    </row>
    <row r="22" spans="1:7">
      <c r="A22" s="2">
        <v>21</v>
      </c>
      <c r="B22" s="2">
        <v>1</v>
      </c>
      <c r="C22" s="2">
        <v>3</v>
      </c>
      <c r="D22" s="2">
        <v>4</v>
      </c>
      <c r="E22" s="2">
        <v>7</v>
      </c>
      <c r="F22" s="2">
        <v>3</v>
      </c>
      <c r="G22" s="2">
        <v>45</v>
      </c>
    </row>
    <row r="23" spans="1:7">
      <c r="A23" s="2">
        <v>22</v>
      </c>
      <c r="B23" s="2">
        <v>1</v>
      </c>
      <c r="C23" s="2">
        <v>3</v>
      </c>
      <c r="D23" s="2">
        <v>4</v>
      </c>
      <c r="E23" s="2">
        <v>8</v>
      </c>
      <c r="F23" s="2">
        <v>1</v>
      </c>
      <c r="G23" s="2">
        <v>55</v>
      </c>
    </row>
    <row r="24" spans="1:7">
      <c r="A24" s="2">
        <v>23</v>
      </c>
      <c r="B24" s="2">
        <v>1</v>
      </c>
      <c r="C24" s="2">
        <v>3</v>
      </c>
      <c r="D24" s="2">
        <v>4</v>
      </c>
      <c r="E24" s="2">
        <v>8</v>
      </c>
      <c r="F24" s="2">
        <v>2</v>
      </c>
      <c r="G24" s="2">
        <v>50</v>
      </c>
    </row>
    <row r="25" spans="1:7">
      <c r="A25" s="2">
        <v>24</v>
      </c>
      <c r="B25" s="2">
        <v>1</v>
      </c>
      <c r="C25" s="2">
        <v>3</v>
      </c>
      <c r="D25" s="2">
        <v>4</v>
      </c>
      <c r="E25" s="2">
        <v>8</v>
      </c>
      <c r="F25" s="2">
        <v>3</v>
      </c>
      <c r="G25" s="2">
        <v>45</v>
      </c>
    </row>
    <row r="26" spans="1:7">
      <c r="A26" s="2">
        <v>25</v>
      </c>
      <c r="B26" s="2">
        <v>1</v>
      </c>
      <c r="C26" s="2">
        <v>3</v>
      </c>
      <c r="D26" s="2">
        <v>4</v>
      </c>
      <c r="E26" s="2">
        <v>9</v>
      </c>
      <c r="F26" s="2">
        <v>1</v>
      </c>
      <c r="G26" s="2">
        <v>55</v>
      </c>
    </row>
    <row r="27" spans="1:7">
      <c r="A27" s="2">
        <v>26</v>
      </c>
      <c r="B27" s="2">
        <v>1</v>
      </c>
      <c r="C27" s="2">
        <v>3</v>
      </c>
      <c r="D27" s="2">
        <v>4</v>
      </c>
      <c r="E27" s="2">
        <v>9</v>
      </c>
      <c r="F27" s="2">
        <v>2</v>
      </c>
      <c r="G27" s="2">
        <v>50</v>
      </c>
    </row>
    <row r="28" spans="1:7">
      <c r="A28" s="2">
        <v>27</v>
      </c>
      <c r="B28" s="2">
        <v>1</v>
      </c>
      <c r="C28" s="2">
        <v>3</v>
      </c>
      <c r="D28" s="2">
        <v>4</v>
      </c>
      <c r="E28" s="2">
        <v>9</v>
      </c>
      <c r="F28" s="2">
        <v>3</v>
      </c>
      <c r="G28" s="2">
        <v>45</v>
      </c>
    </row>
    <row r="29" spans="1:7">
      <c r="A29" s="2">
        <v>28</v>
      </c>
      <c r="B29" s="2">
        <v>1</v>
      </c>
      <c r="C29" s="2">
        <v>3</v>
      </c>
      <c r="D29" s="2">
        <v>4</v>
      </c>
      <c r="E29" s="2">
        <v>10</v>
      </c>
      <c r="F29" s="2">
        <v>1</v>
      </c>
      <c r="G29" s="2">
        <v>55</v>
      </c>
    </row>
    <row r="30" spans="1:7">
      <c r="A30" s="2">
        <v>29</v>
      </c>
      <c r="B30" s="2">
        <v>1</v>
      </c>
      <c r="C30" s="2">
        <v>3</v>
      </c>
      <c r="D30" s="2">
        <v>4</v>
      </c>
      <c r="E30" s="2">
        <v>10</v>
      </c>
      <c r="F30" s="2">
        <v>2</v>
      </c>
      <c r="G30" s="2">
        <v>50</v>
      </c>
    </row>
    <row r="31" spans="1:7">
      <c r="A31" s="2">
        <v>30</v>
      </c>
      <c r="B31" s="2">
        <v>1</v>
      </c>
      <c r="C31" s="2">
        <v>3</v>
      </c>
      <c r="D31" s="2">
        <v>4</v>
      </c>
      <c r="E31" s="2">
        <v>10</v>
      </c>
      <c r="F31" s="2">
        <v>3</v>
      </c>
      <c r="G31" s="2">
        <v>45</v>
      </c>
    </row>
    <row r="32" spans="1:7">
      <c r="A32" s="2">
        <v>31</v>
      </c>
      <c r="B32" s="2">
        <v>1</v>
      </c>
      <c r="C32" s="2">
        <v>3</v>
      </c>
      <c r="D32" s="2">
        <v>4</v>
      </c>
      <c r="E32" s="2">
        <v>11</v>
      </c>
      <c r="F32" s="2">
        <v>1</v>
      </c>
      <c r="G32" s="2">
        <v>63</v>
      </c>
    </row>
    <row r="33" spans="1:7">
      <c r="A33" s="2">
        <v>32</v>
      </c>
      <c r="B33" s="2">
        <v>1</v>
      </c>
      <c r="C33" s="2">
        <v>3</v>
      </c>
      <c r="D33" s="2">
        <v>4</v>
      </c>
      <c r="E33" s="2">
        <v>11</v>
      </c>
      <c r="F33" s="2">
        <v>2</v>
      </c>
      <c r="G33" s="2">
        <v>58</v>
      </c>
    </row>
    <row r="34" spans="1:7">
      <c r="A34" s="2">
        <v>33</v>
      </c>
      <c r="B34" s="2">
        <v>1</v>
      </c>
      <c r="C34" s="2">
        <v>3</v>
      </c>
      <c r="D34" s="2">
        <v>4</v>
      </c>
      <c r="E34" s="2">
        <v>11</v>
      </c>
      <c r="F34" s="2">
        <v>3</v>
      </c>
      <c r="G34" s="2">
        <v>53</v>
      </c>
    </row>
    <row r="35" spans="1:7">
      <c r="A35" s="2">
        <v>34</v>
      </c>
      <c r="B35" s="2">
        <v>1</v>
      </c>
      <c r="C35" s="2">
        <v>3</v>
      </c>
      <c r="D35" s="2">
        <v>4</v>
      </c>
      <c r="E35" s="2">
        <v>12</v>
      </c>
      <c r="F35" s="2">
        <v>1</v>
      </c>
      <c r="G35" s="2">
        <v>65</v>
      </c>
    </row>
    <row r="36" spans="1:7">
      <c r="A36" s="2">
        <v>35</v>
      </c>
      <c r="B36" s="2">
        <v>1</v>
      </c>
      <c r="C36" s="2">
        <v>3</v>
      </c>
      <c r="D36" s="2">
        <v>4</v>
      </c>
      <c r="E36" s="2">
        <v>12</v>
      </c>
      <c r="F36" s="2">
        <v>2</v>
      </c>
      <c r="G36" s="2">
        <v>60</v>
      </c>
    </row>
    <row r="37" spans="1:7">
      <c r="A37" s="2">
        <v>36</v>
      </c>
      <c r="B37" s="2">
        <v>1</v>
      </c>
      <c r="C37" s="2">
        <v>3</v>
      </c>
      <c r="D37" s="2">
        <v>4</v>
      </c>
      <c r="E37" s="2">
        <v>12</v>
      </c>
      <c r="F37" s="2">
        <v>3</v>
      </c>
      <c r="G37" s="2">
        <v>55</v>
      </c>
    </row>
    <row r="38" spans="1:7">
      <c r="A38" s="2">
        <v>37</v>
      </c>
      <c r="B38" s="2">
        <v>1</v>
      </c>
      <c r="C38" s="2">
        <v>3</v>
      </c>
      <c r="D38" s="2">
        <v>5</v>
      </c>
      <c r="E38" s="2">
        <v>1</v>
      </c>
      <c r="F38" s="2">
        <v>1</v>
      </c>
      <c r="G38" s="2">
        <v>45</v>
      </c>
    </row>
    <row r="39" spans="1:7">
      <c r="A39" s="2">
        <v>38</v>
      </c>
      <c r="B39" s="2">
        <v>1</v>
      </c>
      <c r="C39" s="2">
        <v>3</v>
      </c>
      <c r="D39" s="2">
        <v>5</v>
      </c>
      <c r="E39" s="2">
        <v>1</v>
      </c>
      <c r="F39" s="2">
        <v>2</v>
      </c>
      <c r="G39" s="2">
        <v>40</v>
      </c>
    </row>
    <row r="40" spans="1:7">
      <c r="A40" s="2">
        <v>39</v>
      </c>
      <c r="B40" s="2">
        <v>1</v>
      </c>
      <c r="C40" s="2">
        <v>3</v>
      </c>
      <c r="D40" s="2">
        <v>5</v>
      </c>
      <c r="E40" s="2">
        <v>1</v>
      </c>
      <c r="F40" s="2">
        <v>3</v>
      </c>
      <c r="G40" s="2">
        <v>35</v>
      </c>
    </row>
    <row r="41" spans="1:7">
      <c r="A41" s="2">
        <v>40</v>
      </c>
      <c r="B41" s="2">
        <v>1</v>
      </c>
      <c r="C41" s="2">
        <v>3</v>
      </c>
      <c r="D41" s="2">
        <v>5</v>
      </c>
      <c r="E41" s="2">
        <v>2</v>
      </c>
      <c r="F41" s="2">
        <v>1</v>
      </c>
      <c r="G41" s="2">
        <v>45</v>
      </c>
    </row>
    <row r="42" spans="1:7">
      <c r="A42" s="2">
        <v>41</v>
      </c>
      <c r="B42" s="2">
        <v>1</v>
      </c>
      <c r="C42" s="2">
        <v>3</v>
      </c>
      <c r="D42" s="2">
        <v>5</v>
      </c>
      <c r="E42" s="2">
        <v>2</v>
      </c>
      <c r="F42" s="2">
        <v>2</v>
      </c>
      <c r="G42" s="2">
        <v>40</v>
      </c>
    </row>
    <row r="43" spans="1:7">
      <c r="A43" s="2">
        <v>42</v>
      </c>
      <c r="B43" s="2">
        <v>1</v>
      </c>
      <c r="C43" s="2">
        <v>3</v>
      </c>
      <c r="D43" s="2">
        <v>5</v>
      </c>
      <c r="E43" s="2">
        <v>2</v>
      </c>
      <c r="F43" s="2">
        <v>3</v>
      </c>
      <c r="G43" s="2">
        <v>35</v>
      </c>
    </row>
    <row r="44" spans="1:7">
      <c r="A44" s="2">
        <v>43</v>
      </c>
      <c r="B44" s="2">
        <v>1</v>
      </c>
      <c r="C44" s="2">
        <v>3</v>
      </c>
      <c r="D44" s="2">
        <v>5</v>
      </c>
      <c r="E44" s="2">
        <v>3</v>
      </c>
      <c r="F44" s="2">
        <v>1</v>
      </c>
      <c r="G44" s="2">
        <v>45</v>
      </c>
    </row>
    <row r="45" spans="1:7">
      <c r="A45" s="2">
        <v>44</v>
      </c>
      <c r="B45" s="2">
        <v>1</v>
      </c>
      <c r="C45" s="2">
        <v>3</v>
      </c>
      <c r="D45" s="2">
        <v>5</v>
      </c>
      <c r="E45" s="2">
        <v>3</v>
      </c>
      <c r="F45" s="2">
        <v>2</v>
      </c>
      <c r="G45" s="2">
        <v>40</v>
      </c>
    </row>
    <row r="46" spans="1:7">
      <c r="A46" s="2">
        <v>45</v>
      </c>
      <c r="B46" s="2">
        <v>1</v>
      </c>
      <c r="C46" s="2">
        <v>3</v>
      </c>
      <c r="D46" s="2">
        <v>5</v>
      </c>
      <c r="E46" s="2">
        <v>3</v>
      </c>
      <c r="F46" s="2">
        <v>3</v>
      </c>
      <c r="G46" s="2">
        <v>35</v>
      </c>
    </row>
    <row r="47" spans="1:7">
      <c r="A47" s="2">
        <v>46</v>
      </c>
      <c r="B47" s="2">
        <v>1</v>
      </c>
      <c r="C47" s="2">
        <v>3</v>
      </c>
      <c r="D47" s="2">
        <v>5</v>
      </c>
      <c r="E47" s="2">
        <v>4</v>
      </c>
      <c r="F47" s="2">
        <v>1</v>
      </c>
      <c r="G47" s="2">
        <v>45</v>
      </c>
    </row>
    <row r="48" spans="1:7">
      <c r="A48" s="2">
        <v>47</v>
      </c>
      <c r="B48" s="2">
        <v>1</v>
      </c>
      <c r="C48" s="2">
        <v>3</v>
      </c>
      <c r="D48" s="2">
        <v>5</v>
      </c>
      <c r="E48" s="2">
        <v>4</v>
      </c>
      <c r="F48" s="2">
        <v>2</v>
      </c>
      <c r="G48" s="2">
        <v>40</v>
      </c>
    </row>
    <row r="49" spans="1:7">
      <c r="A49" s="2">
        <v>48</v>
      </c>
      <c r="B49" s="2">
        <v>1</v>
      </c>
      <c r="C49" s="2">
        <v>3</v>
      </c>
      <c r="D49" s="2">
        <v>5</v>
      </c>
      <c r="E49" s="2">
        <v>4</v>
      </c>
      <c r="F49" s="2">
        <v>3</v>
      </c>
      <c r="G49" s="2">
        <v>35</v>
      </c>
    </row>
    <row r="50" spans="1:7">
      <c r="A50" s="2">
        <v>49</v>
      </c>
      <c r="B50" s="2">
        <v>1</v>
      </c>
      <c r="C50" s="2">
        <v>3</v>
      </c>
      <c r="D50" s="2">
        <v>5</v>
      </c>
      <c r="E50" s="2">
        <v>5</v>
      </c>
      <c r="F50" s="2">
        <v>1</v>
      </c>
      <c r="G50" s="2">
        <v>45</v>
      </c>
    </row>
    <row r="51" spans="1:7">
      <c r="A51" s="2">
        <v>50</v>
      </c>
      <c r="B51" s="2">
        <v>1</v>
      </c>
      <c r="C51" s="2">
        <v>3</v>
      </c>
      <c r="D51" s="2">
        <v>5</v>
      </c>
      <c r="E51" s="2">
        <v>5</v>
      </c>
      <c r="F51" s="2">
        <v>2</v>
      </c>
      <c r="G51" s="2">
        <v>40</v>
      </c>
    </row>
    <row r="52" spans="1:7">
      <c r="A52" s="2">
        <v>51</v>
      </c>
      <c r="B52" s="2">
        <v>1</v>
      </c>
      <c r="C52" s="2">
        <v>3</v>
      </c>
      <c r="D52" s="2">
        <v>5</v>
      </c>
      <c r="E52" s="2">
        <v>5</v>
      </c>
      <c r="F52" s="2">
        <v>3</v>
      </c>
      <c r="G52" s="2">
        <v>35</v>
      </c>
    </row>
    <row r="53" spans="1:7">
      <c r="A53" s="2">
        <v>52</v>
      </c>
      <c r="B53" s="2">
        <v>1</v>
      </c>
      <c r="C53" s="2">
        <v>3</v>
      </c>
      <c r="D53" s="2">
        <v>5</v>
      </c>
      <c r="E53" s="2">
        <v>6</v>
      </c>
      <c r="F53" s="2">
        <v>1</v>
      </c>
      <c r="G53" s="2">
        <v>45</v>
      </c>
    </row>
    <row r="54" spans="1:7">
      <c r="A54" s="2">
        <v>53</v>
      </c>
      <c r="B54" s="2">
        <v>1</v>
      </c>
      <c r="C54" s="2">
        <v>3</v>
      </c>
      <c r="D54" s="2">
        <v>5</v>
      </c>
      <c r="E54" s="2">
        <v>6</v>
      </c>
      <c r="F54" s="2">
        <v>2</v>
      </c>
      <c r="G54" s="2">
        <v>40</v>
      </c>
    </row>
    <row r="55" spans="1:7">
      <c r="A55" s="2">
        <v>54</v>
      </c>
      <c r="B55" s="2">
        <v>1</v>
      </c>
      <c r="C55" s="2">
        <v>3</v>
      </c>
      <c r="D55" s="2">
        <v>5</v>
      </c>
      <c r="E55" s="2">
        <v>6</v>
      </c>
      <c r="F55" s="2">
        <v>3</v>
      </c>
      <c r="G55" s="2">
        <v>35</v>
      </c>
    </row>
    <row r="56" spans="1:7">
      <c r="A56" s="2">
        <v>55</v>
      </c>
      <c r="B56" s="2">
        <v>1</v>
      </c>
      <c r="C56" s="2">
        <v>3</v>
      </c>
      <c r="D56" s="2">
        <v>5</v>
      </c>
      <c r="E56" s="2">
        <v>7</v>
      </c>
      <c r="F56" s="2">
        <v>1</v>
      </c>
      <c r="G56" s="2">
        <v>50</v>
      </c>
    </row>
    <row r="57" spans="1:7">
      <c r="A57" s="2">
        <v>56</v>
      </c>
      <c r="B57" s="2">
        <v>1</v>
      </c>
      <c r="C57" s="2">
        <v>3</v>
      </c>
      <c r="D57" s="2">
        <v>5</v>
      </c>
      <c r="E57" s="2">
        <v>7</v>
      </c>
      <c r="F57" s="2">
        <v>2</v>
      </c>
      <c r="G57" s="2">
        <v>45</v>
      </c>
    </row>
    <row r="58" spans="1:7">
      <c r="A58" s="2">
        <v>57</v>
      </c>
      <c r="B58" s="2">
        <v>1</v>
      </c>
      <c r="C58" s="2">
        <v>3</v>
      </c>
      <c r="D58" s="2">
        <v>5</v>
      </c>
      <c r="E58" s="2">
        <v>7</v>
      </c>
      <c r="F58" s="2">
        <v>3</v>
      </c>
      <c r="G58" s="2">
        <v>40</v>
      </c>
    </row>
    <row r="59" spans="1:7">
      <c r="A59" s="2">
        <v>58</v>
      </c>
      <c r="B59" s="2">
        <v>1</v>
      </c>
      <c r="C59" s="2">
        <v>3</v>
      </c>
      <c r="D59" s="2">
        <v>5</v>
      </c>
      <c r="E59" s="2">
        <v>8</v>
      </c>
      <c r="F59" s="2">
        <v>1</v>
      </c>
      <c r="G59" s="2">
        <v>50</v>
      </c>
    </row>
    <row r="60" spans="1:7">
      <c r="A60" s="2">
        <v>59</v>
      </c>
      <c r="B60" s="2">
        <v>1</v>
      </c>
      <c r="C60" s="2">
        <v>3</v>
      </c>
      <c r="D60" s="2">
        <v>5</v>
      </c>
      <c r="E60" s="2">
        <v>8</v>
      </c>
      <c r="F60" s="2">
        <v>2</v>
      </c>
      <c r="G60" s="2">
        <v>45</v>
      </c>
    </row>
    <row r="61" spans="1:7">
      <c r="A61" s="2">
        <v>60</v>
      </c>
      <c r="B61" s="2">
        <v>1</v>
      </c>
      <c r="C61" s="2">
        <v>3</v>
      </c>
      <c r="D61" s="2">
        <v>5</v>
      </c>
      <c r="E61" s="2">
        <v>8</v>
      </c>
      <c r="F61" s="2">
        <v>3</v>
      </c>
      <c r="G61" s="2">
        <v>40</v>
      </c>
    </row>
    <row r="62" spans="1:7">
      <c r="A62" s="2">
        <v>61</v>
      </c>
      <c r="B62" s="2">
        <v>1</v>
      </c>
      <c r="C62" s="2">
        <v>3</v>
      </c>
      <c r="D62" s="2">
        <v>5</v>
      </c>
      <c r="E62" s="2">
        <v>9</v>
      </c>
      <c r="F62" s="2">
        <v>1</v>
      </c>
      <c r="G62" s="2">
        <v>50</v>
      </c>
    </row>
    <row r="63" spans="1:7">
      <c r="A63" s="2">
        <v>62</v>
      </c>
      <c r="B63" s="2">
        <v>1</v>
      </c>
      <c r="C63" s="2">
        <v>3</v>
      </c>
      <c r="D63" s="2">
        <v>5</v>
      </c>
      <c r="E63" s="2">
        <v>9</v>
      </c>
      <c r="F63" s="2">
        <v>2</v>
      </c>
      <c r="G63" s="2">
        <v>45</v>
      </c>
    </row>
    <row r="64" spans="1:7">
      <c r="A64" s="2">
        <v>63</v>
      </c>
      <c r="B64" s="2">
        <v>1</v>
      </c>
      <c r="C64" s="2">
        <v>3</v>
      </c>
      <c r="D64" s="2">
        <v>5</v>
      </c>
      <c r="E64" s="2">
        <v>9</v>
      </c>
      <c r="F64" s="2">
        <v>3</v>
      </c>
      <c r="G64" s="2">
        <v>40</v>
      </c>
    </row>
    <row r="65" spans="1:7">
      <c r="A65" s="2">
        <v>64</v>
      </c>
      <c r="B65" s="2">
        <v>1</v>
      </c>
      <c r="C65" s="2">
        <v>3</v>
      </c>
      <c r="D65" s="2">
        <v>5</v>
      </c>
      <c r="E65" s="2">
        <v>10</v>
      </c>
      <c r="F65" s="2">
        <v>1</v>
      </c>
      <c r="G65" s="2">
        <v>50</v>
      </c>
    </row>
    <row r="66" spans="1:7">
      <c r="A66" s="2">
        <v>65</v>
      </c>
      <c r="B66" s="2">
        <v>1</v>
      </c>
      <c r="C66" s="2">
        <v>3</v>
      </c>
      <c r="D66" s="2">
        <v>5</v>
      </c>
      <c r="E66" s="2">
        <v>10</v>
      </c>
      <c r="F66" s="2">
        <v>2</v>
      </c>
      <c r="G66" s="2">
        <v>45</v>
      </c>
    </row>
    <row r="67" spans="1:7">
      <c r="A67" s="2">
        <v>66</v>
      </c>
      <c r="B67" s="2">
        <v>1</v>
      </c>
      <c r="C67" s="2">
        <v>3</v>
      </c>
      <c r="D67" s="2">
        <v>5</v>
      </c>
      <c r="E67" s="2">
        <v>10</v>
      </c>
      <c r="F67" s="2">
        <v>3</v>
      </c>
      <c r="G67" s="2">
        <v>40</v>
      </c>
    </row>
    <row r="68" spans="1:7">
      <c r="A68" s="2">
        <v>67</v>
      </c>
      <c r="B68" s="2">
        <v>1</v>
      </c>
      <c r="C68" s="2">
        <v>3</v>
      </c>
      <c r="D68" s="2">
        <v>5</v>
      </c>
      <c r="E68" s="2">
        <v>11</v>
      </c>
      <c r="F68" s="2">
        <v>1</v>
      </c>
      <c r="G68" s="2">
        <v>58</v>
      </c>
    </row>
    <row r="69" spans="1:7">
      <c r="A69" s="2">
        <v>68</v>
      </c>
      <c r="B69" s="2">
        <v>1</v>
      </c>
      <c r="C69" s="2">
        <v>3</v>
      </c>
      <c r="D69" s="2">
        <v>5</v>
      </c>
      <c r="E69" s="2">
        <v>11</v>
      </c>
      <c r="F69" s="2">
        <v>2</v>
      </c>
      <c r="G69" s="2">
        <v>53</v>
      </c>
    </row>
    <row r="70" spans="1:7">
      <c r="A70" s="2">
        <v>69</v>
      </c>
      <c r="B70" s="2">
        <v>1</v>
      </c>
      <c r="C70" s="2">
        <v>3</v>
      </c>
      <c r="D70" s="2">
        <v>5</v>
      </c>
      <c r="E70" s="2">
        <v>11</v>
      </c>
      <c r="F70" s="2">
        <v>3</v>
      </c>
      <c r="G70" s="2">
        <v>48</v>
      </c>
    </row>
    <row r="71" spans="1:7">
      <c r="A71" s="2">
        <v>70</v>
      </c>
      <c r="B71" s="2">
        <v>1</v>
      </c>
      <c r="C71" s="2">
        <v>3</v>
      </c>
      <c r="D71" s="2">
        <v>5</v>
      </c>
      <c r="E71" s="2">
        <v>12</v>
      </c>
      <c r="F71" s="2">
        <v>1</v>
      </c>
      <c r="G71" s="2">
        <v>60</v>
      </c>
    </row>
    <row r="72" spans="1:7">
      <c r="A72" s="2">
        <v>71</v>
      </c>
      <c r="B72" s="2">
        <v>1</v>
      </c>
      <c r="C72" s="2">
        <v>3</v>
      </c>
      <c r="D72" s="2">
        <v>5</v>
      </c>
      <c r="E72" s="2">
        <v>12</v>
      </c>
      <c r="F72" s="2">
        <v>2</v>
      </c>
      <c r="G72" s="2">
        <v>55</v>
      </c>
    </row>
    <row r="73" spans="1:7">
      <c r="A73" s="2">
        <v>72</v>
      </c>
      <c r="B73" s="2">
        <v>1</v>
      </c>
      <c r="C73" s="2">
        <v>3</v>
      </c>
      <c r="D73" s="2">
        <v>5</v>
      </c>
      <c r="E73" s="2">
        <v>12</v>
      </c>
      <c r="F73" s="2">
        <v>3</v>
      </c>
      <c r="G73" s="2">
        <v>50</v>
      </c>
    </row>
    <row r="74" spans="1:7">
      <c r="A74" s="2">
        <v>73</v>
      </c>
      <c r="B74" s="2">
        <v>1</v>
      </c>
      <c r="C74" s="2">
        <v>4</v>
      </c>
      <c r="D74" s="2">
        <v>4</v>
      </c>
      <c r="E74" s="2">
        <v>1</v>
      </c>
      <c r="F74" s="2">
        <v>1</v>
      </c>
      <c r="G74" s="2">
        <v>45</v>
      </c>
    </row>
    <row r="75" spans="1:7">
      <c r="A75" s="2">
        <v>74</v>
      </c>
      <c r="B75" s="2">
        <v>1</v>
      </c>
      <c r="C75" s="2">
        <v>4</v>
      </c>
      <c r="D75" s="2">
        <v>4</v>
      </c>
      <c r="E75" s="2">
        <v>1</v>
      </c>
      <c r="F75" s="2">
        <v>2</v>
      </c>
      <c r="G75" s="2">
        <v>40</v>
      </c>
    </row>
    <row r="76" spans="1:7">
      <c r="A76" s="2">
        <v>75</v>
      </c>
      <c r="B76" s="2">
        <v>1</v>
      </c>
      <c r="C76" s="2">
        <v>4</v>
      </c>
      <c r="D76" s="2">
        <v>4</v>
      </c>
      <c r="E76" s="2">
        <v>1</v>
      </c>
      <c r="F76" s="2">
        <v>3</v>
      </c>
      <c r="G76" s="2">
        <v>35</v>
      </c>
    </row>
    <row r="77" spans="1:7">
      <c r="A77" s="2">
        <v>76</v>
      </c>
      <c r="B77" s="2">
        <v>1</v>
      </c>
      <c r="C77" s="2">
        <v>4</v>
      </c>
      <c r="D77" s="2">
        <v>4</v>
      </c>
      <c r="E77" s="2">
        <v>2</v>
      </c>
      <c r="F77" s="2">
        <v>1</v>
      </c>
      <c r="G77" s="2">
        <v>45</v>
      </c>
    </row>
    <row r="78" spans="1:7">
      <c r="A78" s="2">
        <v>77</v>
      </c>
      <c r="B78" s="2">
        <v>1</v>
      </c>
      <c r="C78" s="2">
        <v>4</v>
      </c>
      <c r="D78" s="2">
        <v>4</v>
      </c>
      <c r="E78" s="2">
        <v>2</v>
      </c>
      <c r="F78" s="2">
        <v>2</v>
      </c>
      <c r="G78" s="2">
        <v>40</v>
      </c>
    </row>
    <row r="79" spans="1:7">
      <c r="A79" s="2">
        <v>78</v>
      </c>
      <c r="B79" s="2">
        <v>1</v>
      </c>
      <c r="C79" s="2">
        <v>4</v>
      </c>
      <c r="D79" s="2">
        <v>4</v>
      </c>
      <c r="E79" s="2">
        <v>2</v>
      </c>
      <c r="F79" s="2">
        <v>3</v>
      </c>
      <c r="G79" s="2">
        <v>35</v>
      </c>
    </row>
    <row r="80" spans="1:7">
      <c r="A80" s="2">
        <v>79</v>
      </c>
      <c r="B80" s="2">
        <v>1</v>
      </c>
      <c r="C80" s="2">
        <v>4</v>
      </c>
      <c r="D80" s="2">
        <v>4</v>
      </c>
      <c r="E80" s="2">
        <v>3</v>
      </c>
      <c r="F80" s="2">
        <v>1</v>
      </c>
      <c r="G80" s="2">
        <v>45</v>
      </c>
    </row>
    <row r="81" spans="1:7">
      <c r="A81" s="2">
        <v>80</v>
      </c>
      <c r="B81" s="2">
        <v>1</v>
      </c>
      <c r="C81" s="2">
        <v>4</v>
      </c>
      <c r="D81" s="2">
        <v>4</v>
      </c>
      <c r="E81" s="2">
        <v>3</v>
      </c>
      <c r="F81" s="2">
        <v>2</v>
      </c>
      <c r="G81" s="2">
        <v>40</v>
      </c>
    </row>
    <row r="82" spans="1:7">
      <c r="A82" s="2">
        <v>81</v>
      </c>
      <c r="B82" s="2">
        <v>1</v>
      </c>
      <c r="C82" s="2">
        <v>4</v>
      </c>
      <c r="D82" s="2">
        <v>4</v>
      </c>
      <c r="E82" s="2">
        <v>3</v>
      </c>
      <c r="F82" s="2">
        <v>3</v>
      </c>
      <c r="G82" s="2">
        <v>35</v>
      </c>
    </row>
    <row r="83" spans="1:7">
      <c r="A83" s="2">
        <v>82</v>
      </c>
      <c r="B83" s="2">
        <v>1</v>
      </c>
      <c r="C83" s="2">
        <v>4</v>
      </c>
      <c r="D83" s="2">
        <v>4</v>
      </c>
      <c r="E83" s="2">
        <v>4</v>
      </c>
      <c r="F83" s="2">
        <v>1</v>
      </c>
      <c r="G83" s="2">
        <v>45</v>
      </c>
    </row>
    <row r="84" spans="1:7">
      <c r="A84" s="2">
        <v>83</v>
      </c>
      <c r="B84" s="2">
        <v>1</v>
      </c>
      <c r="C84" s="2">
        <v>4</v>
      </c>
      <c r="D84" s="2">
        <v>4</v>
      </c>
      <c r="E84" s="2">
        <v>4</v>
      </c>
      <c r="F84" s="2">
        <v>2</v>
      </c>
      <c r="G84" s="2">
        <v>40</v>
      </c>
    </row>
    <row r="85" spans="1:7">
      <c r="A85" s="2">
        <v>84</v>
      </c>
      <c r="B85" s="2">
        <v>1</v>
      </c>
      <c r="C85" s="2">
        <v>4</v>
      </c>
      <c r="D85" s="2">
        <v>4</v>
      </c>
      <c r="E85" s="2">
        <v>4</v>
      </c>
      <c r="F85" s="2">
        <v>3</v>
      </c>
      <c r="G85" s="2">
        <v>35</v>
      </c>
    </row>
    <row r="86" spans="1:7">
      <c r="A86" s="2">
        <v>85</v>
      </c>
      <c r="B86" s="2">
        <v>1</v>
      </c>
      <c r="C86" s="2">
        <v>4</v>
      </c>
      <c r="D86" s="2">
        <v>4</v>
      </c>
      <c r="E86" s="2">
        <v>5</v>
      </c>
      <c r="F86" s="2">
        <v>1</v>
      </c>
      <c r="G86" s="2">
        <v>45</v>
      </c>
    </row>
    <row r="87" spans="1:7">
      <c r="A87" s="2">
        <v>86</v>
      </c>
      <c r="B87" s="2">
        <v>1</v>
      </c>
      <c r="C87" s="2">
        <v>4</v>
      </c>
      <c r="D87" s="2">
        <v>4</v>
      </c>
      <c r="E87" s="2">
        <v>5</v>
      </c>
      <c r="F87" s="2">
        <v>2</v>
      </c>
      <c r="G87" s="2">
        <v>40</v>
      </c>
    </row>
    <row r="88" spans="1:7">
      <c r="A88" s="2">
        <v>87</v>
      </c>
      <c r="B88" s="2">
        <v>1</v>
      </c>
      <c r="C88" s="2">
        <v>4</v>
      </c>
      <c r="D88" s="2">
        <v>4</v>
      </c>
      <c r="E88" s="2">
        <v>5</v>
      </c>
      <c r="F88" s="2">
        <v>3</v>
      </c>
      <c r="G88" s="2">
        <v>35</v>
      </c>
    </row>
    <row r="89" spans="1:7">
      <c r="A89" s="2">
        <v>88</v>
      </c>
      <c r="B89" s="2">
        <v>1</v>
      </c>
      <c r="C89" s="2">
        <v>4</v>
      </c>
      <c r="D89" s="2">
        <v>4</v>
      </c>
      <c r="E89" s="2">
        <v>6</v>
      </c>
      <c r="F89" s="2">
        <v>1</v>
      </c>
      <c r="G89" s="2">
        <v>45</v>
      </c>
    </row>
    <row r="90" spans="1:7">
      <c r="A90" s="2">
        <v>89</v>
      </c>
      <c r="B90" s="2">
        <v>1</v>
      </c>
      <c r="C90" s="2">
        <v>4</v>
      </c>
      <c r="D90" s="2">
        <v>4</v>
      </c>
      <c r="E90" s="2">
        <v>6</v>
      </c>
      <c r="F90" s="2">
        <v>2</v>
      </c>
      <c r="G90" s="2">
        <v>40</v>
      </c>
    </row>
    <row r="91" spans="1:7">
      <c r="A91" s="2">
        <v>90</v>
      </c>
      <c r="B91" s="2">
        <v>1</v>
      </c>
      <c r="C91" s="2">
        <v>4</v>
      </c>
      <c r="D91" s="2">
        <v>4</v>
      </c>
      <c r="E91" s="2">
        <v>6</v>
      </c>
      <c r="F91" s="2">
        <v>3</v>
      </c>
      <c r="G91" s="2">
        <v>35</v>
      </c>
    </row>
    <row r="92" spans="1:7">
      <c r="A92" s="2">
        <v>91</v>
      </c>
      <c r="B92" s="2">
        <v>1</v>
      </c>
      <c r="C92" s="2">
        <v>4</v>
      </c>
      <c r="D92" s="2">
        <v>4</v>
      </c>
      <c r="E92" s="2">
        <v>7</v>
      </c>
      <c r="F92" s="2">
        <v>1</v>
      </c>
      <c r="G92" s="2">
        <v>50</v>
      </c>
    </row>
    <row r="93" spans="1:7">
      <c r="A93" s="2">
        <v>92</v>
      </c>
      <c r="B93" s="2">
        <v>1</v>
      </c>
      <c r="C93" s="2">
        <v>4</v>
      </c>
      <c r="D93" s="2">
        <v>4</v>
      </c>
      <c r="E93" s="2">
        <v>7</v>
      </c>
      <c r="F93" s="2">
        <v>2</v>
      </c>
      <c r="G93" s="2">
        <v>45</v>
      </c>
    </row>
    <row r="94" spans="1:7">
      <c r="A94" s="2">
        <v>93</v>
      </c>
      <c r="B94" s="2">
        <v>1</v>
      </c>
      <c r="C94" s="2">
        <v>4</v>
      </c>
      <c r="D94" s="2">
        <v>4</v>
      </c>
      <c r="E94" s="2">
        <v>7</v>
      </c>
      <c r="F94" s="2">
        <v>3</v>
      </c>
      <c r="G94" s="2">
        <v>40</v>
      </c>
    </row>
    <row r="95" spans="1:7">
      <c r="A95" s="2">
        <v>94</v>
      </c>
      <c r="B95" s="2">
        <v>1</v>
      </c>
      <c r="C95" s="2">
        <v>4</v>
      </c>
      <c r="D95" s="2">
        <v>4</v>
      </c>
      <c r="E95" s="2">
        <v>8</v>
      </c>
      <c r="F95" s="2">
        <v>1</v>
      </c>
      <c r="G95" s="2">
        <v>50</v>
      </c>
    </row>
    <row r="96" spans="1:7">
      <c r="A96" s="2">
        <v>95</v>
      </c>
      <c r="B96" s="2">
        <v>1</v>
      </c>
      <c r="C96" s="2">
        <v>4</v>
      </c>
      <c r="D96" s="2">
        <v>4</v>
      </c>
      <c r="E96" s="2">
        <v>8</v>
      </c>
      <c r="F96" s="2">
        <v>2</v>
      </c>
      <c r="G96" s="2">
        <v>45</v>
      </c>
    </row>
    <row r="97" spans="1:7">
      <c r="A97" s="2">
        <v>96</v>
      </c>
      <c r="B97" s="2">
        <v>1</v>
      </c>
      <c r="C97" s="2">
        <v>4</v>
      </c>
      <c r="D97" s="2">
        <v>4</v>
      </c>
      <c r="E97" s="2">
        <v>8</v>
      </c>
      <c r="F97" s="2">
        <v>3</v>
      </c>
      <c r="G97" s="2">
        <v>40</v>
      </c>
    </row>
    <row r="98" spans="1:7">
      <c r="A98" s="2">
        <v>97</v>
      </c>
      <c r="B98" s="2">
        <v>1</v>
      </c>
      <c r="C98" s="2">
        <v>4</v>
      </c>
      <c r="D98" s="2">
        <v>4</v>
      </c>
      <c r="E98" s="2">
        <v>9</v>
      </c>
      <c r="F98" s="2">
        <v>1</v>
      </c>
      <c r="G98" s="2">
        <v>50</v>
      </c>
    </row>
    <row r="99" spans="1:7">
      <c r="A99" s="2">
        <v>98</v>
      </c>
      <c r="B99" s="2">
        <v>1</v>
      </c>
      <c r="C99" s="2">
        <v>4</v>
      </c>
      <c r="D99" s="2">
        <v>4</v>
      </c>
      <c r="E99" s="2">
        <v>9</v>
      </c>
      <c r="F99" s="2">
        <v>2</v>
      </c>
      <c r="G99" s="2">
        <v>45</v>
      </c>
    </row>
    <row r="100" spans="1:7">
      <c r="A100" s="2">
        <v>99</v>
      </c>
      <c r="B100" s="2">
        <v>1</v>
      </c>
      <c r="C100" s="2">
        <v>4</v>
      </c>
      <c r="D100" s="2">
        <v>4</v>
      </c>
      <c r="E100" s="2">
        <v>9</v>
      </c>
      <c r="F100" s="2">
        <v>3</v>
      </c>
      <c r="G100" s="2">
        <v>40</v>
      </c>
    </row>
    <row r="101" spans="1:7">
      <c r="A101" s="2">
        <v>100</v>
      </c>
      <c r="B101" s="2">
        <v>1</v>
      </c>
      <c r="C101" s="2">
        <v>4</v>
      </c>
      <c r="D101" s="2">
        <v>4</v>
      </c>
      <c r="E101" s="2">
        <v>10</v>
      </c>
      <c r="F101" s="2">
        <v>1</v>
      </c>
      <c r="G101" s="2">
        <v>50</v>
      </c>
    </row>
    <row r="102" spans="1:7">
      <c r="A102" s="2">
        <v>101</v>
      </c>
      <c r="B102" s="2">
        <v>1</v>
      </c>
      <c r="C102" s="2">
        <v>4</v>
      </c>
      <c r="D102" s="2">
        <v>4</v>
      </c>
      <c r="E102" s="2">
        <v>10</v>
      </c>
      <c r="F102" s="2">
        <v>2</v>
      </c>
      <c r="G102" s="2">
        <v>45</v>
      </c>
    </row>
    <row r="103" spans="1:7">
      <c r="A103" s="2">
        <v>102</v>
      </c>
      <c r="B103" s="2">
        <v>1</v>
      </c>
      <c r="C103" s="2">
        <v>4</v>
      </c>
      <c r="D103" s="2">
        <v>4</v>
      </c>
      <c r="E103" s="2">
        <v>10</v>
      </c>
      <c r="F103" s="2">
        <v>3</v>
      </c>
      <c r="G103" s="2">
        <v>40</v>
      </c>
    </row>
    <row r="104" spans="1:7">
      <c r="A104" s="2">
        <v>103</v>
      </c>
      <c r="B104" s="2">
        <v>1</v>
      </c>
      <c r="C104" s="2">
        <v>4</v>
      </c>
      <c r="D104" s="2">
        <v>4</v>
      </c>
      <c r="E104" s="2">
        <v>11</v>
      </c>
      <c r="F104" s="2">
        <v>1</v>
      </c>
      <c r="G104" s="2">
        <v>58</v>
      </c>
    </row>
    <row r="105" spans="1:7">
      <c r="A105" s="2">
        <v>104</v>
      </c>
      <c r="B105" s="2">
        <v>1</v>
      </c>
      <c r="C105" s="2">
        <v>4</v>
      </c>
      <c r="D105" s="2">
        <v>4</v>
      </c>
      <c r="E105" s="2">
        <v>11</v>
      </c>
      <c r="F105" s="2">
        <v>2</v>
      </c>
      <c r="G105" s="2">
        <v>53</v>
      </c>
    </row>
    <row r="106" spans="1:7">
      <c r="A106" s="2">
        <v>105</v>
      </c>
      <c r="B106" s="2">
        <v>1</v>
      </c>
      <c r="C106" s="2">
        <v>4</v>
      </c>
      <c r="D106" s="2">
        <v>4</v>
      </c>
      <c r="E106" s="2">
        <v>11</v>
      </c>
      <c r="F106" s="2">
        <v>3</v>
      </c>
      <c r="G106" s="2">
        <v>48</v>
      </c>
    </row>
    <row r="107" spans="1:7">
      <c r="A107" s="2">
        <v>106</v>
      </c>
      <c r="B107" s="2">
        <v>1</v>
      </c>
      <c r="C107" s="2">
        <v>4</v>
      </c>
      <c r="D107" s="2">
        <v>4</v>
      </c>
      <c r="E107" s="2">
        <v>12</v>
      </c>
      <c r="F107" s="2">
        <v>1</v>
      </c>
      <c r="G107" s="2">
        <v>60</v>
      </c>
    </row>
    <row r="108" spans="1:7">
      <c r="A108" s="2">
        <v>107</v>
      </c>
      <c r="B108" s="2">
        <v>1</v>
      </c>
      <c r="C108" s="2">
        <v>4</v>
      </c>
      <c r="D108" s="2">
        <v>4</v>
      </c>
      <c r="E108" s="2">
        <v>12</v>
      </c>
      <c r="F108" s="2">
        <v>2</v>
      </c>
      <c r="G108" s="2">
        <v>55</v>
      </c>
    </row>
    <row r="109" spans="1:7">
      <c r="A109" s="2">
        <v>108</v>
      </c>
      <c r="B109" s="2">
        <v>1</v>
      </c>
      <c r="C109" s="2">
        <v>4</v>
      </c>
      <c r="D109" s="2">
        <v>4</v>
      </c>
      <c r="E109" s="2">
        <v>12</v>
      </c>
      <c r="F109" s="2">
        <v>3</v>
      </c>
      <c r="G109" s="2">
        <v>50</v>
      </c>
    </row>
    <row r="110" spans="1:7">
      <c r="A110" s="2">
        <v>109</v>
      </c>
      <c r="B110" s="2">
        <v>1</v>
      </c>
      <c r="C110" s="2">
        <v>4</v>
      </c>
      <c r="D110" s="2">
        <v>5</v>
      </c>
      <c r="E110" s="2">
        <v>1</v>
      </c>
      <c r="F110" s="2">
        <v>1</v>
      </c>
      <c r="G110" s="2">
        <v>40</v>
      </c>
    </row>
    <row r="111" spans="1:7">
      <c r="A111" s="2">
        <v>110</v>
      </c>
      <c r="B111" s="2">
        <v>1</v>
      </c>
      <c r="C111" s="2">
        <v>4</v>
      </c>
      <c r="D111" s="2">
        <v>5</v>
      </c>
      <c r="E111" s="2">
        <v>1</v>
      </c>
      <c r="F111" s="2">
        <v>2</v>
      </c>
      <c r="G111" s="2">
        <v>35</v>
      </c>
    </row>
    <row r="112" spans="1:7">
      <c r="A112" s="2">
        <v>111</v>
      </c>
      <c r="B112" s="2">
        <v>1</v>
      </c>
      <c r="C112" s="2">
        <v>4</v>
      </c>
      <c r="D112" s="2">
        <v>5</v>
      </c>
      <c r="E112" s="2">
        <v>1</v>
      </c>
      <c r="F112" s="2">
        <v>3</v>
      </c>
      <c r="G112" s="2">
        <v>30</v>
      </c>
    </row>
    <row r="113" spans="1:7">
      <c r="A113" s="2">
        <v>112</v>
      </c>
      <c r="B113" s="2">
        <v>1</v>
      </c>
      <c r="C113" s="2">
        <v>4</v>
      </c>
      <c r="D113" s="2">
        <v>5</v>
      </c>
      <c r="E113" s="2">
        <v>2</v>
      </c>
      <c r="F113" s="2">
        <v>1</v>
      </c>
      <c r="G113" s="2">
        <v>40</v>
      </c>
    </row>
    <row r="114" spans="1:7">
      <c r="A114" s="2">
        <v>113</v>
      </c>
      <c r="B114" s="2">
        <v>1</v>
      </c>
      <c r="C114" s="2">
        <v>4</v>
      </c>
      <c r="D114" s="2">
        <v>5</v>
      </c>
      <c r="E114" s="2">
        <v>2</v>
      </c>
      <c r="F114" s="2">
        <v>2</v>
      </c>
      <c r="G114" s="2">
        <v>35</v>
      </c>
    </row>
    <row r="115" spans="1:7">
      <c r="A115" s="2">
        <v>114</v>
      </c>
      <c r="B115" s="2">
        <v>1</v>
      </c>
      <c r="C115" s="2">
        <v>4</v>
      </c>
      <c r="D115" s="2">
        <v>5</v>
      </c>
      <c r="E115" s="2">
        <v>2</v>
      </c>
      <c r="F115" s="2">
        <v>3</v>
      </c>
      <c r="G115" s="2">
        <v>30</v>
      </c>
    </row>
    <row r="116" spans="1:7">
      <c r="A116" s="2">
        <v>115</v>
      </c>
      <c r="B116" s="2">
        <v>1</v>
      </c>
      <c r="C116" s="2">
        <v>4</v>
      </c>
      <c r="D116" s="2">
        <v>5</v>
      </c>
      <c r="E116" s="2">
        <v>3</v>
      </c>
      <c r="F116" s="2">
        <v>1</v>
      </c>
      <c r="G116" s="2">
        <v>40</v>
      </c>
    </row>
    <row r="117" spans="1:7">
      <c r="A117" s="2">
        <v>116</v>
      </c>
      <c r="B117" s="2">
        <v>1</v>
      </c>
      <c r="C117" s="2">
        <v>4</v>
      </c>
      <c r="D117" s="2">
        <v>5</v>
      </c>
      <c r="E117" s="2">
        <v>3</v>
      </c>
      <c r="F117" s="2">
        <v>2</v>
      </c>
      <c r="G117" s="2">
        <v>35</v>
      </c>
    </row>
    <row r="118" spans="1:7">
      <c r="A118" s="2">
        <v>117</v>
      </c>
      <c r="B118" s="2">
        <v>1</v>
      </c>
      <c r="C118" s="2">
        <v>4</v>
      </c>
      <c r="D118" s="2">
        <v>5</v>
      </c>
      <c r="E118" s="2">
        <v>3</v>
      </c>
      <c r="F118" s="2">
        <v>3</v>
      </c>
      <c r="G118" s="2">
        <v>30</v>
      </c>
    </row>
    <row r="119" spans="1:7">
      <c r="A119" s="2">
        <v>118</v>
      </c>
      <c r="B119" s="2">
        <v>1</v>
      </c>
      <c r="C119" s="2">
        <v>4</v>
      </c>
      <c r="D119" s="2">
        <v>5</v>
      </c>
      <c r="E119" s="2">
        <v>4</v>
      </c>
      <c r="F119" s="2">
        <v>1</v>
      </c>
      <c r="G119" s="2">
        <v>40</v>
      </c>
    </row>
    <row r="120" spans="1:7">
      <c r="A120" s="2">
        <v>119</v>
      </c>
      <c r="B120" s="2">
        <v>1</v>
      </c>
      <c r="C120" s="2">
        <v>4</v>
      </c>
      <c r="D120" s="2">
        <v>5</v>
      </c>
      <c r="E120" s="2">
        <v>4</v>
      </c>
      <c r="F120" s="2">
        <v>2</v>
      </c>
      <c r="G120" s="2">
        <v>35</v>
      </c>
    </row>
    <row r="121" spans="1:7">
      <c r="A121" s="2">
        <v>120</v>
      </c>
      <c r="B121" s="2">
        <v>1</v>
      </c>
      <c r="C121" s="2">
        <v>4</v>
      </c>
      <c r="D121" s="2">
        <v>5</v>
      </c>
      <c r="E121" s="2">
        <v>4</v>
      </c>
      <c r="F121" s="2">
        <v>3</v>
      </c>
      <c r="G121" s="2">
        <v>30</v>
      </c>
    </row>
    <row r="122" spans="1:7">
      <c r="A122" s="2">
        <v>121</v>
      </c>
      <c r="B122" s="2">
        <v>1</v>
      </c>
      <c r="C122" s="2">
        <v>4</v>
      </c>
      <c r="D122" s="2">
        <v>5</v>
      </c>
      <c r="E122" s="2">
        <v>5</v>
      </c>
      <c r="F122" s="2">
        <v>1</v>
      </c>
      <c r="G122" s="2">
        <v>40</v>
      </c>
    </row>
    <row r="123" spans="1:7">
      <c r="A123" s="2">
        <v>122</v>
      </c>
      <c r="B123" s="2">
        <v>1</v>
      </c>
      <c r="C123" s="2">
        <v>4</v>
      </c>
      <c r="D123" s="2">
        <v>5</v>
      </c>
      <c r="E123" s="2">
        <v>5</v>
      </c>
      <c r="F123" s="2">
        <v>2</v>
      </c>
      <c r="G123" s="2">
        <v>35</v>
      </c>
    </row>
    <row r="124" spans="1:7">
      <c r="A124" s="2">
        <v>123</v>
      </c>
      <c r="B124" s="2">
        <v>1</v>
      </c>
      <c r="C124" s="2">
        <v>4</v>
      </c>
      <c r="D124" s="2">
        <v>5</v>
      </c>
      <c r="E124" s="2">
        <v>5</v>
      </c>
      <c r="F124" s="2">
        <v>3</v>
      </c>
      <c r="G124" s="2">
        <v>30</v>
      </c>
    </row>
    <row r="125" spans="1:7">
      <c r="A125" s="2">
        <v>124</v>
      </c>
      <c r="B125" s="2">
        <v>1</v>
      </c>
      <c r="C125" s="2">
        <v>4</v>
      </c>
      <c r="D125" s="2">
        <v>5</v>
      </c>
      <c r="E125" s="2">
        <v>6</v>
      </c>
      <c r="F125" s="2">
        <v>1</v>
      </c>
      <c r="G125" s="2">
        <v>40</v>
      </c>
    </row>
    <row r="126" spans="1:7">
      <c r="A126" s="2">
        <v>125</v>
      </c>
      <c r="B126" s="2">
        <v>1</v>
      </c>
      <c r="C126" s="2">
        <v>4</v>
      </c>
      <c r="D126" s="2">
        <v>5</v>
      </c>
      <c r="E126" s="2">
        <v>6</v>
      </c>
      <c r="F126" s="2">
        <v>2</v>
      </c>
      <c r="G126" s="2">
        <v>35</v>
      </c>
    </row>
    <row r="127" spans="1:7">
      <c r="A127" s="2">
        <v>126</v>
      </c>
      <c r="B127" s="2">
        <v>1</v>
      </c>
      <c r="C127" s="2">
        <v>4</v>
      </c>
      <c r="D127" s="2">
        <v>5</v>
      </c>
      <c r="E127" s="2">
        <v>6</v>
      </c>
      <c r="F127" s="2">
        <v>3</v>
      </c>
      <c r="G127" s="2">
        <v>30</v>
      </c>
    </row>
    <row r="128" spans="1:7">
      <c r="A128" s="2">
        <v>127</v>
      </c>
      <c r="B128" s="2">
        <v>1</v>
      </c>
      <c r="C128" s="2">
        <v>4</v>
      </c>
      <c r="D128" s="2">
        <v>5</v>
      </c>
      <c r="E128" s="2">
        <v>7</v>
      </c>
      <c r="F128" s="2">
        <v>1</v>
      </c>
      <c r="G128" s="2">
        <v>45</v>
      </c>
    </row>
    <row r="129" spans="1:7">
      <c r="A129" s="2">
        <v>128</v>
      </c>
      <c r="B129" s="2">
        <v>1</v>
      </c>
      <c r="C129" s="2">
        <v>4</v>
      </c>
      <c r="D129" s="2">
        <v>5</v>
      </c>
      <c r="E129" s="2">
        <v>7</v>
      </c>
      <c r="F129" s="2">
        <v>2</v>
      </c>
      <c r="G129" s="2">
        <v>40</v>
      </c>
    </row>
    <row r="130" spans="1:7">
      <c r="A130" s="2">
        <v>129</v>
      </c>
      <c r="B130" s="2">
        <v>1</v>
      </c>
      <c r="C130" s="2">
        <v>4</v>
      </c>
      <c r="D130" s="2">
        <v>5</v>
      </c>
      <c r="E130" s="2">
        <v>7</v>
      </c>
      <c r="F130" s="2">
        <v>3</v>
      </c>
      <c r="G130" s="2">
        <v>35</v>
      </c>
    </row>
    <row r="131" spans="1:7">
      <c r="A131" s="2">
        <v>130</v>
      </c>
      <c r="B131" s="2">
        <v>1</v>
      </c>
      <c r="C131" s="2">
        <v>4</v>
      </c>
      <c r="D131" s="2">
        <v>5</v>
      </c>
      <c r="E131" s="2">
        <v>8</v>
      </c>
      <c r="F131" s="2">
        <v>1</v>
      </c>
      <c r="G131" s="2">
        <v>45</v>
      </c>
    </row>
    <row r="132" spans="1:7">
      <c r="A132" s="2">
        <v>131</v>
      </c>
      <c r="B132" s="2">
        <v>1</v>
      </c>
      <c r="C132" s="2">
        <v>4</v>
      </c>
      <c r="D132" s="2">
        <v>5</v>
      </c>
      <c r="E132" s="2">
        <v>8</v>
      </c>
      <c r="F132" s="2">
        <v>2</v>
      </c>
      <c r="G132" s="2">
        <v>40</v>
      </c>
    </row>
    <row r="133" spans="1:7">
      <c r="A133" s="2">
        <v>132</v>
      </c>
      <c r="B133" s="2">
        <v>1</v>
      </c>
      <c r="C133" s="2">
        <v>4</v>
      </c>
      <c r="D133" s="2">
        <v>5</v>
      </c>
      <c r="E133" s="2">
        <v>8</v>
      </c>
      <c r="F133" s="2">
        <v>3</v>
      </c>
      <c r="G133" s="2">
        <v>35</v>
      </c>
    </row>
    <row r="134" spans="1:7">
      <c r="A134" s="2">
        <v>133</v>
      </c>
      <c r="B134" s="2">
        <v>1</v>
      </c>
      <c r="C134" s="2">
        <v>4</v>
      </c>
      <c r="D134" s="2">
        <v>5</v>
      </c>
      <c r="E134" s="2">
        <v>9</v>
      </c>
      <c r="F134" s="2">
        <v>1</v>
      </c>
      <c r="G134" s="2">
        <v>45</v>
      </c>
    </row>
    <row r="135" spans="1:7">
      <c r="A135" s="2">
        <v>134</v>
      </c>
      <c r="B135" s="2">
        <v>1</v>
      </c>
      <c r="C135" s="2">
        <v>4</v>
      </c>
      <c r="D135" s="2">
        <v>5</v>
      </c>
      <c r="E135" s="2">
        <v>9</v>
      </c>
      <c r="F135" s="2">
        <v>2</v>
      </c>
      <c r="G135" s="2">
        <v>40</v>
      </c>
    </row>
    <row r="136" spans="1:7">
      <c r="A136" s="2">
        <v>135</v>
      </c>
      <c r="B136" s="2">
        <v>1</v>
      </c>
      <c r="C136" s="2">
        <v>4</v>
      </c>
      <c r="D136" s="2">
        <v>5</v>
      </c>
      <c r="E136" s="2">
        <v>9</v>
      </c>
      <c r="F136" s="2">
        <v>3</v>
      </c>
      <c r="G136" s="2">
        <v>35</v>
      </c>
    </row>
    <row r="137" spans="1:7">
      <c r="A137" s="2">
        <v>136</v>
      </c>
      <c r="B137" s="2">
        <v>1</v>
      </c>
      <c r="C137" s="2">
        <v>4</v>
      </c>
      <c r="D137" s="2">
        <v>5</v>
      </c>
      <c r="E137" s="2">
        <v>10</v>
      </c>
      <c r="F137" s="2">
        <v>1</v>
      </c>
      <c r="G137" s="2">
        <v>45</v>
      </c>
    </row>
    <row r="138" spans="1:7">
      <c r="A138" s="2">
        <v>137</v>
      </c>
      <c r="B138" s="2">
        <v>1</v>
      </c>
      <c r="C138" s="2">
        <v>4</v>
      </c>
      <c r="D138" s="2">
        <v>5</v>
      </c>
      <c r="E138" s="2">
        <v>10</v>
      </c>
      <c r="F138" s="2">
        <v>2</v>
      </c>
      <c r="G138" s="2">
        <v>40</v>
      </c>
    </row>
    <row r="139" spans="1:7">
      <c r="A139" s="2">
        <v>138</v>
      </c>
      <c r="B139" s="2">
        <v>1</v>
      </c>
      <c r="C139" s="2">
        <v>4</v>
      </c>
      <c r="D139" s="2">
        <v>5</v>
      </c>
      <c r="E139" s="2">
        <v>10</v>
      </c>
      <c r="F139" s="2">
        <v>3</v>
      </c>
      <c r="G139" s="2">
        <v>35</v>
      </c>
    </row>
    <row r="140" spans="1:7">
      <c r="A140" s="2">
        <v>139</v>
      </c>
      <c r="B140" s="2">
        <v>1</v>
      </c>
      <c r="C140" s="2">
        <v>4</v>
      </c>
      <c r="D140" s="2">
        <v>5</v>
      </c>
      <c r="E140" s="2">
        <v>11</v>
      </c>
      <c r="F140" s="2">
        <v>1</v>
      </c>
      <c r="G140" s="2">
        <v>53</v>
      </c>
    </row>
    <row r="141" spans="1:7">
      <c r="A141" s="2">
        <v>140</v>
      </c>
      <c r="B141" s="2">
        <v>1</v>
      </c>
      <c r="C141" s="2">
        <v>4</v>
      </c>
      <c r="D141" s="2">
        <v>5</v>
      </c>
      <c r="E141" s="2">
        <v>11</v>
      </c>
      <c r="F141" s="2">
        <v>2</v>
      </c>
      <c r="G141" s="2">
        <v>48</v>
      </c>
    </row>
    <row r="142" spans="1:7">
      <c r="A142" s="2">
        <v>141</v>
      </c>
      <c r="B142" s="2">
        <v>1</v>
      </c>
      <c r="C142" s="2">
        <v>4</v>
      </c>
      <c r="D142" s="2">
        <v>5</v>
      </c>
      <c r="E142" s="2">
        <v>11</v>
      </c>
      <c r="F142" s="2">
        <v>3</v>
      </c>
      <c r="G142" s="2">
        <v>43</v>
      </c>
    </row>
    <row r="143" spans="1:7">
      <c r="A143" s="2">
        <v>142</v>
      </c>
      <c r="B143" s="2">
        <v>1</v>
      </c>
      <c r="C143" s="2">
        <v>4</v>
      </c>
      <c r="D143" s="2">
        <v>5</v>
      </c>
      <c r="E143" s="2">
        <v>12</v>
      </c>
      <c r="F143" s="2">
        <v>1</v>
      </c>
      <c r="G143" s="2">
        <v>55</v>
      </c>
    </row>
    <row r="144" spans="1:7">
      <c r="A144" s="2">
        <v>143</v>
      </c>
      <c r="B144" s="2">
        <v>1</v>
      </c>
      <c r="C144" s="2">
        <v>4</v>
      </c>
      <c r="D144" s="2">
        <v>5</v>
      </c>
      <c r="E144" s="2">
        <v>12</v>
      </c>
      <c r="F144" s="2">
        <v>2</v>
      </c>
      <c r="G144" s="2">
        <v>50</v>
      </c>
    </row>
    <row r="145" spans="1:7">
      <c r="A145" s="2">
        <v>144</v>
      </c>
      <c r="B145" s="2">
        <v>1</v>
      </c>
      <c r="C145" s="2">
        <v>4</v>
      </c>
      <c r="D145" s="2">
        <v>5</v>
      </c>
      <c r="E145" s="2">
        <v>12</v>
      </c>
      <c r="F145" s="2">
        <v>3</v>
      </c>
      <c r="G145" s="2">
        <v>45</v>
      </c>
    </row>
    <row r="146" spans="1:7">
      <c r="A146" s="2">
        <v>145</v>
      </c>
      <c r="B146" s="2">
        <v>2</v>
      </c>
      <c r="C146" s="2">
        <v>3</v>
      </c>
      <c r="D146" s="2">
        <v>4</v>
      </c>
      <c r="E146" s="2">
        <v>1</v>
      </c>
      <c r="F146" s="2">
        <v>1</v>
      </c>
      <c r="G146" s="2">
        <v>45</v>
      </c>
    </row>
    <row r="147" spans="1:7">
      <c r="A147" s="2">
        <v>146</v>
      </c>
      <c r="B147" s="2">
        <v>2</v>
      </c>
      <c r="C147" s="2">
        <v>3</v>
      </c>
      <c r="D147" s="2">
        <v>4</v>
      </c>
      <c r="E147" s="2">
        <v>1</v>
      </c>
      <c r="F147" s="2">
        <v>2</v>
      </c>
      <c r="G147" s="2">
        <v>40</v>
      </c>
    </row>
    <row r="148" spans="1:7">
      <c r="A148" s="2">
        <v>147</v>
      </c>
      <c r="B148" s="2">
        <v>2</v>
      </c>
      <c r="C148" s="2">
        <v>3</v>
      </c>
      <c r="D148" s="2">
        <v>4</v>
      </c>
      <c r="E148" s="2">
        <v>1</v>
      </c>
      <c r="F148" s="2">
        <v>3</v>
      </c>
      <c r="G148" s="2">
        <v>35</v>
      </c>
    </row>
    <row r="149" spans="1:7">
      <c r="A149" s="2">
        <v>148</v>
      </c>
      <c r="B149" s="2">
        <v>2</v>
      </c>
      <c r="C149" s="2">
        <v>3</v>
      </c>
      <c r="D149" s="2">
        <v>4</v>
      </c>
      <c r="E149" s="2">
        <v>2</v>
      </c>
      <c r="F149" s="2">
        <v>1</v>
      </c>
      <c r="G149" s="2">
        <v>45</v>
      </c>
    </row>
    <row r="150" spans="1:7">
      <c r="A150" s="2">
        <v>149</v>
      </c>
      <c r="B150" s="2">
        <v>2</v>
      </c>
      <c r="C150" s="2">
        <v>3</v>
      </c>
      <c r="D150" s="2">
        <v>4</v>
      </c>
      <c r="E150" s="2">
        <v>2</v>
      </c>
      <c r="F150" s="2">
        <v>2</v>
      </c>
      <c r="G150" s="2">
        <v>40</v>
      </c>
    </row>
    <row r="151" spans="1:7">
      <c r="A151" s="2">
        <v>150</v>
      </c>
      <c r="B151" s="2">
        <v>2</v>
      </c>
      <c r="C151" s="2">
        <v>3</v>
      </c>
      <c r="D151" s="2">
        <v>4</v>
      </c>
      <c r="E151" s="2">
        <v>2</v>
      </c>
      <c r="F151" s="2">
        <v>3</v>
      </c>
      <c r="G151" s="2">
        <v>35</v>
      </c>
    </row>
    <row r="152" spans="1:7">
      <c r="A152" s="2">
        <v>151</v>
      </c>
      <c r="B152" s="2">
        <v>2</v>
      </c>
      <c r="C152" s="2">
        <v>3</v>
      </c>
      <c r="D152" s="2">
        <v>4</v>
      </c>
      <c r="E152" s="2">
        <v>3</v>
      </c>
      <c r="F152" s="2">
        <v>1</v>
      </c>
      <c r="G152" s="2">
        <v>45</v>
      </c>
    </row>
    <row r="153" spans="1:7">
      <c r="A153" s="2">
        <v>152</v>
      </c>
      <c r="B153" s="2">
        <v>2</v>
      </c>
      <c r="C153" s="2">
        <v>3</v>
      </c>
      <c r="D153" s="2">
        <v>4</v>
      </c>
      <c r="E153" s="2">
        <v>3</v>
      </c>
      <c r="F153" s="2">
        <v>2</v>
      </c>
      <c r="G153" s="2">
        <v>40</v>
      </c>
    </row>
    <row r="154" spans="1:7">
      <c r="A154" s="2">
        <v>153</v>
      </c>
      <c r="B154" s="2">
        <v>2</v>
      </c>
      <c r="C154" s="2">
        <v>3</v>
      </c>
      <c r="D154" s="2">
        <v>4</v>
      </c>
      <c r="E154" s="2">
        <v>3</v>
      </c>
      <c r="F154" s="2">
        <v>3</v>
      </c>
      <c r="G154" s="2">
        <v>35</v>
      </c>
    </row>
    <row r="155" spans="1:7">
      <c r="A155" s="2">
        <v>154</v>
      </c>
      <c r="B155" s="2">
        <v>2</v>
      </c>
      <c r="C155" s="2">
        <v>3</v>
      </c>
      <c r="D155" s="2">
        <v>4</v>
      </c>
      <c r="E155" s="2">
        <v>4</v>
      </c>
      <c r="F155" s="2">
        <v>1</v>
      </c>
      <c r="G155" s="2">
        <v>45</v>
      </c>
    </row>
    <row r="156" spans="1:7">
      <c r="A156" s="2">
        <v>155</v>
      </c>
      <c r="B156" s="2">
        <v>2</v>
      </c>
      <c r="C156" s="2">
        <v>3</v>
      </c>
      <c r="D156" s="2">
        <v>4</v>
      </c>
      <c r="E156" s="2">
        <v>4</v>
      </c>
      <c r="F156" s="2">
        <v>2</v>
      </c>
      <c r="G156" s="2">
        <v>40</v>
      </c>
    </row>
    <row r="157" spans="1:7">
      <c r="A157" s="2">
        <v>156</v>
      </c>
      <c r="B157" s="2">
        <v>2</v>
      </c>
      <c r="C157" s="2">
        <v>3</v>
      </c>
      <c r="D157" s="2">
        <v>4</v>
      </c>
      <c r="E157" s="2">
        <v>4</v>
      </c>
      <c r="F157" s="2">
        <v>3</v>
      </c>
      <c r="G157" s="2">
        <v>35</v>
      </c>
    </row>
    <row r="158" spans="1:7">
      <c r="A158" s="2">
        <v>157</v>
      </c>
      <c r="B158" s="2">
        <v>2</v>
      </c>
      <c r="C158" s="2">
        <v>3</v>
      </c>
      <c r="D158" s="2">
        <v>4</v>
      </c>
      <c r="E158" s="2">
        <v>5</v>
      </c>
      <c r="F158" s="2">
        <v>1</v>
      </c>
      <c r="G158" s="2">
        <v>45</v>
      </c>
    </row>
    <row r="159" spans="1:7">
      <c r="A159" s="2">
        <v>158</v>
      </c>
      <c r="B159" s="2">
        <v>2</v>
      </c>
      <c r="C159" s="2">
        <v>3</v>
      </c>
      <c r="D159" s="2">
        <v>4</v>
      </c>
      <c r="E159" s="2">
        <v>5</v>
      </c>
      <c r="F159" s="2">
        <v>2</v>
      </c>
      <c r="G159" s="2">
        <v>40</v>
      </c>
    </row>
    <row r="160" spans="1:7">
      <c r="A160" s="2">
        <v>159</v>
      </c>
      <c r="B160" s="2">
        <v>2</v>
      </c>
      <c r="C160" s="2">
        <v>3</v>
      </c>
      <c r="D160" s="2">
        <v>4</v>
      </c>
      <c r="E160" s="2">
        <v>5</v>
      </c>
      <c r="F160" s="2">
        <v>3</v>
      </c>
      <c r="G160" s="2">
        <v>35</v>
      </c>
    </row>
    <row r="161" spans="1:7">
      <c r="A161" s="2">
        <v>160</v>
      </c>
      <c r="B161" s="2">
        <v>2</v>
      </c>
      <c r="C161" s="2">
        <v>3</v>
      </c>
      <c r="D161" s="2">
        <v>4</v>
      </c>
      <c r="E161" s="2">
        <v>6</v>
      </c>
      <c r="F161" s="2">
        <v>1</v>
      </c>
      <c r="G161" s="2">
        <v>45</v>
      </c>
    </row>
    <row r="162" spans="1:7">
      <c r="A162" s="2">
        <v>161</v>
      </c>
      <c r="B162" s="2">
        <v>2</v>
      </c>
      <c r="C162" s="2">
        <v>3</v>
      </c>
      <c r="D162" s="2">
        <v>4</v>
      </c>
      <c r="E162" s="2">
        <v>6</v>
      </c>
      <c r="F162" s="2">
        <v>2</v>
      </c>
      <c r="G162" s="2">
        <v>40</v>
      </c>
    </row>
    <row r="163" spans="1:7">
      <c r="A163" s="2">
        <v>162</v>
      </c>
      <c r="B163" s="2">
        <v>2</v>
      </c>
      <c r="C163" s="2">
        <v>3</v>
      </c>
      <c r="D163" s="2">
        <v>4</v>
      </c>
      <c r="E163" s="2">
        <v>6</v>
      </c>
      <c r="F163" s="2">
        <v>3</v>
      </c>
      <c r="G163" s="2">
        <v>35</v>
      </c>
    </row>
    <row r="164" spans="1:7">
      <c r="A164" s="2">
        <v>163</v>
      </c>
      <c r="B164" s="2">
        <v>2</v>
      </c>
      <c r="C164" s="2">
        <v>3</v>
      </c>
      <c r="D164" s="2">
        <v>4</v>
      </c>
      <c r="E164" s="2">
        <v>7</v>
      </c>
      <c r="F164" s="2">
        <v>1</v>
      </c>
      <c r="G164" s="2">
        <v>50</v>
      </c>
    </row>
    <row r="165" spans="1:7">
      <c r="A165" s="2">
        <v>164</v>
      </c>
      <c r="B165" s="2">
        <v>2</v>
      </c>
      <c r="C165" s="2">
        <v>3</v>
      </c>
      <c r="D165" s="2">
        <v>4</v>
      </c>
      <c r="E165" s="2">
        <v>7</v>
      </c>
      <c r="F165" s="2">
        <v>2</v>
      </c>
      <c r="G165" s="2">
        <v>45</v>
      </c>
    </row>
    <row r="166" spans="1:7">
      <c r="A166" s="2">
        <v>165</v>
      </c>
      <c r="B166" s="2">
        <v>2</v>
      </c>
      <c r="C166" s="2">
        <v>3</v>
      </c>
      <c r="D166" s="2">
        <v>4</v>
      </c>
      <c r="E166" s="2">
        <v>7</v>
      </c>
      <c r="F166" s="2">
        <v>3</v>
      </c>
      <c r="G166" s="2">
        <v>40</v>
      </c>
    </row>
    <row r="167" spans="1:7">
      <c r="A167" s="2">
        <v>166</v>
      </c>
      <c r="B167" s="2">
        <v>2</v>
      </c>
      <c r="C167" s="2">
        <v>3</v>
      </c>
      <c r="D167" s="2">
        <v>4</v>
      </c>
      <c r="E167" s="2">
        <v>8</v>
      </c>
      <c r="F167" s="2">
        <v>1</v>
      </c>
      <c r="G167" s="2">
        <v>50</v>
      </c>
    </row>
    <row r="168" spans="1:7">
      <c r="A168" s="2">
        <v>167</v>
      </c>
      <c r="B168" s="2">
        <v>2</v>
      </c>
      <c r="C168" s="2">
        <v>3</v>
      </c>
      <c r="D168" s="2">
        <v>4</v>
      </c>
      <c r="E168" s="2">
        <v>8</v>
      </c>
      <c r="F168" s="2">
        <v>2</v>
      </c>
      <c r="G168" s="2">
        <v>45</v>
      </c>
    </row>
    <row r="169" spans="1:7">
      <c r="A169" s="2">
        <v>168</v>
      </c>
      <c r="B169" s="2">
        <v>2</v>
      </c>
      <c r="C169" s="2">
        <v>3</v>
      </c>
      <c r="D169" s="2">
        <v>4</v>
      </c>
      <c r="E169" s="2">
        <v>8</v>
      </c>
      <c r="F169" s="2">
        <v>3</v>
      </c>
      <c r="G169" s="2">
        <v>40</v>
      </c>
    </row>
    <row r="170" spans="1:7">
      <c r="A170" s="2">
        <v>169</v>
      </c>
      <c r="B170" s="2">
        <v>2</v>
      </c>
      <c r="C170" s="2">
        <v>3</v>
      </c>
      <c r="D170" s="2">
        <v>4</v>
      </c>
      <c r="E170" s="2">
        <v>9</v>
      </c>
      <c r="F170" s="2">
        <v>1</v>
      </c>
      <c r="G170" s="2">
        <v>50</v>
      </c>
    </row>
    <row r="171" spans="1:7">
      <c r="A171" s="2">
        <v>170</v>
      </c>
      <c r="B171" s="2">
        <v>2</v>
      </c>
      <c r="C171" s="2">
        <v>3</v>
      </c>
      <c r="D171" s="2">
        <v>4</v>
      </c>
      <c r="E171" s="2">
        <v>9</v>
      </c>
      <c r="F171" s="2">
        <v>2</v>
      </c>
      <c r="G171" s="2">
        <v>45</v>
      </c>
    </row>
    <row r="172" spans="1:7">
      <c r="A172" s="2">
        <v>171</v>
      </c>
      <c r="B172" s="2">
        <v>2</v>
      </c>
      <c r="C172" s="2">
        <v>3</v>
      </c>
      <c r="D172" s="2">
        <v>4</v>
      </c>
      <c r="E172" s="2">
        <v>9</v>
      </c>
      <c r="F172" s="2">
        <v>3</v>
      </c>
      <c r="G172" s="2">
        <v>40</v>
      </c>
    </row>
    <row r="173" spans="1:7">
      <c r="A173" s="2">
        <v>172</v>
      </c>
      <c r="B173" s="2">
        <v>2</v>
      </c>
      <c r="C173" s="2">
        <v>3</v>
      </c>
      <c r="D173" s="2">
        <v>4</v>
      </c>
      <c r="E173" s="2">
        <v>10</v>
      </c>
      <c r="F173" s="2">
        <v>1</v>
      </c>
      <c r="G173" s="2">
        <v>50</v>
      </c>
    </row>
    <row r="174" spans="1:7">
      <c r="A174" s="2">
        <v>173</v>
      </c>
      <c r="B174" s="2">
        <v>2</v>
      </c>
      <c r="C174" s="2">
        <v>3</v>
      </c>
      <c r="D174" s="2">
        <v>4</v>
      </c>
      <c r="E174" s="2">
        <v>10</v>
      </c>
      <c r="F174" s="2">
        <v>2</v>
      </c>
      <c r="G174" s="2">
        <v>45</v>
      </c>
    </row>
    <row r="175" spans="1:7">
      <c r="A175" s="2">
        <v>174</v>
      </c>
      <c r="B175" s="2">
        <v>2</v>
      </c>
      <c r="C175" s="2">
        <v>3</v>
      </c>
      <c r="D175" s="2">
        <v>4</v>
      </c>
      <c r="E175" s="2">
        <v>10</v>
      </c>
      <c r="F175" s="2">
        <v>3</v>
      </c>
      <c r="G175" s="2">
        <v>40</v>
      </c>
    </row>
    <row r="176" spans="1:7">
      <c r="A176" s="2">
        <v>175</v>
      </c>
      <c r="B176" s="2">
        <v>2</v>
      </c>
      <c r="C176" s="2">
        <v>3</v>
      </c>
      <c r="D176" s="2">
        <v>4</v>
      </c>
      <c r="E176" s="2">
        <v>11</v>
      </c>
      <c r="F176" s="2">
        <v>1</v>
      </c>
      <c r="G176" s="2">
        <v>58</v>
      </c>
    </row>
    <row r="177" spans="1:7">
      <c r="A177" s="2">
        <v>176</v>
      </c>
      <c r="B177" s="2">
        <v>2</v>
      </c>
      <c r="C177" s="2">
        <v>3</v>
      </c>
      <c r="D177" s="2">
        <v>4</v>
      </c>
      <c r="E177" s="2">
        <v>11</v>
      </c>
      <c r="F177" s="2">
        <v>2</v>
      </c>
      <c r="G177" s="2">
        <v>53</v>
      </c>
    </row>
    <row r="178" spans="1:7">
      <c r="A178" s="2">
        <v>177</v>
      </c>
      <c r="B178" s="2">
        <v>2</v>
      </c>
      <c r="C178" s="2">
        <v>3</v>
      </c>
      <c r="D178" s="2">
        <v>4</v>
      </c>
      <c r="E178" s="2">
        <v>11</v>
      </c>
      <c r="F178" s="2">
        <v>3</v>
      </c>
      <c r="G178" s="2">
        <v>48</v>
      </c>
    </row>
    <row r="179" spans="1:7">
      <c r="A179" s="2">
        <v>178</v>
      </c>
      <c r="B179" s="2">
        <v>2</v>
      </c>
      <c r="C179" s="2">
        <v>3</v>
      </c>
      <c r="D179" s="2">
        <v>4</v>
      </c>
      <c r="E179" s="2">
        <v>12</v>
      </c>
      <c r="F179" s="2">
        <v>1</v>
      </c>
      <c r="G179" s="2">
        <v>60</v>
      </c>
    </row>
    <row r="180" spans="1:7">
      <c r="A180" s="2">
        <v>179</v>
      </c>
      <c r="B180" s="2">
        <v>2</v>
      </c>
      <c r="C180" s="2">
        <v>3</v>
      </c>
      <c r="D180" s="2">
        <v>4</v>
      </c>
      <c r="E180" s="2">
        <v>12</v>
      </c>
      <c r="F180" s="2">
        <v>2</v>
      </c>
      <c r="G180" s="2">
        <v>55</v>
      </c>
    </row>
    <row r="181" spans="1:7">
      <c r="A181" s="2">
        <v>180</v>
      </c>
      <c r="B181" s="2">
        <v>2</v>
      </c>
      <c r="C181" s="2">
        <v>3</v>
      </c>
      <c r="D181" s="2">
        <v>4</v>
      </c>
      <c r="E181" s="2">
        <v>12</v>
      </c>
      <c r="F181" s="2">
        <v>3</v>
      </c>
      <c r="G181" s="2">
        <v>50</v>
      </c>
    </row>
    <row r="182" spans="1:7">
      <c r="A182" s="2">
        <v>181</v>
      </c>
      <c r="B182" s="2">
        <v>2</v>
      </c>
      <c r="C182" s="2">
        <v>3</v>
      </c>
      <c r="D182" s="2">
        <v>5</v>
      </c>
      <c r="E182" s="2">
        <v>1</v>
      </c>
      <c r="F182" s="2">
        <v>1</v>
      </c>
      <c r="G182" s="2">
        <v>40</v>
      </c>
    </row>
    <row r="183" spans="1:7">
      <c r="A183" s="2">
        <v>182</v>
      </c>
      <c r="B183" s="2">
        <v>2</v>
      </c>
      <c r="C183" s="2">
        <v>3</v>
      </c>
      <c r="D183" s="2">
        <v>5</v>
      </c>
      <c r="E183" s="2">
        <v>1</v>
      </c>
      <c r="F183" s="2">
        <v>2</v>
      </c>
      <c r="G183" s="2">
        <v>35</v>
      </c>
    </row>
    <row r="184" spans="1:7">
      <c r="A184" s="2">
        <v>183</v>
      </c>
      <c r="B184" s="2">
        <v>2</v>
      </c>
      <c r="C184" s="2">
        <v>3</v>
      </c>
      <c r="D184" s="2">
        <v>5</v>
      </c>
      <c r="E184" s="2">
        <v>1</v>
      </c>
      <c r="F184" s="2">
        <v>3</v>
      </c>
      <c r="G184" s="2">
        <v>30</v>
      </c>
    </row>
    <row r="185" spans="1:7">
      <c r="A185" s="2">
        <v>184</v>
      </c>
      <c r="B185" s="2">
        <v>2</v>
      </c>
      <c r="C185" s="2">
        <v>3</v>
      </c>
      <c r="D185" s="2">
        <v>5</v>
      </c>
      <c r="E185" s="2">
        <v>2</v>
      </c>
      <c r="F185" s="2">
        <v>1</v>
      </c>
      <c r="G185" s="2">
        <v>40</v>
      </c>
    </row>
    <row r="186" spans="1:7">
      <c r="A186" s="2">
        <v>185</v>
      </c>
      <c r="B186" s="2">
        <v>2</v>
      </c>
      <c r="C186" s="2">
        <v>3</v>
      </c>
      <c r="D186" s="2">
        <v>5</v>
      </c>
      <c r="E186" s="2">
        <v>2</v>
      </c>
      <c r="F186" s="2">
        <v>2</v>
      </c>
      <c r="G186" s="2">
        <v>35</v>
      </c>
    </row>
    <row r="187" spans="1:7">
      <c r="A187" s="2">
        <v>186</v>
      </c>
      <c r="B187" s="2">
        <v>2</v>
      </c>
      <c r="C187" s="2">
        <v>3</v>
      </c>
      <c r="D187" s="2">
        <v>5</v>
      </c>
      <c r="E187" s="2">
        <v>2</v>
      </c>
      <c r="F187" s="2">
        <v>3</v>
      </c>
      <c r="G187" s="2">
        <v>30</v>
      </c>
    </row>
    <row r="188" spans="1:7">
      <c r="A188" s="2">
        <v>187</v>
      </c>
      <c r="B188" s="2">
        <v>2</v>
      </c>
      <c r="C188" s="2">
        <v>3</v>
      </c>
      <c r="D188" s="2">
        <v>5</v>
      </c>
      <c r="E188" s="2">
        <v>3</v>
      </c>
      <c r="F188" s="2">
        <v>1</v>
      </c>
      <c r="G188" s="2">
        <v>40</v>
      </c>
    </row>
    <row r="189" spans="1:7">
      <c r="A189" s="2">
        <v>188</v>
      </c>
      <c r="B189" s="2">
        <v>2</v>
      </c>
      <c r="C189" s="2">
        <v>3</v>
      </c>
      <c r="D189" s="2">
        <v>5</v>
      </c>
      <c r="E189" s="2">
        <v>3</v>
      </c>
      <c r="F189" s="2">
        <v>2</v>
      </c>
      <c r="G189" s="2">
        <v>35</v>
      </c>
    </row>
    <row r="190" spans="1:7">
      <c r="A190" s="2">
        <v>189</v>
      </c>
      <c r="B190" s="2">
        <v>2</v>
      </c>
      <c r="C190" s="2">
        <v>3</v>
      </c>
      <c r="D190" s="2">
        <v>5</v>
      </c>
      <c r="E190" s="2">
        <v>3</v>
      </c>
      <c r="F190" s="2">
        <v>3</v>
      </c>
      <c r="G190" s="2">
        <v>30</v>
      </c>
    </row>
    <row r="191" spans="1:7">
      <c r="A191" s="2">
        <v>190</v>
      </c>
      <c r="B191" s="2">
        <v>2</v>
      </c>
      <c r="C191" s="2">
        <v>3</v>
      </c>
      <c r="D191" s="2">
        <v>5</v>
      </c>
      <c r="E191" s="2">
        <v>4</v>
      </c>
      <c r="F191" s="2">
        <v>1</v>
      </c>
      <c r="G191" s="2">
        <v>40</v>
      </c>
    </row>
    <row r="192" spans="1:7">
      <c r="A192" s="2">
        <v>191</v>
      </c>
      <c r="B192" s="2">
        <v>2</v>
      </c>
      <c r="C192" s="2">
        <v>3</v>
      </c>
      <c r="D192" s="2">
        <v>5</v>
      </c>
      <c r="E192" s="2">
        <v>4</v>
      </c>
      <c r="F192" s="2">
        <v>2</v>
      </c>
      <c r="G192" s="2">
        <v>35</v>
      </c>
    </row>
    <row r="193" spans="1:7">
      <c r="A193" s="2">
        <v>192</v>
      </c>
      <c r="B193" s="2">
        <v>2</v>
      </c>
      <c r="C193" s="2">
        <v>3</v>
      </c>
      <c r="D193" s="2">
        <v>5</v>
      </c>
      <c r="E193" s="2">
        <v>4</v>
      </c>
      <c r="F193" s="2">
        <v>3</v>
      </c>
      <c r="G193" s="2">
        <v>30</v>
      </c>
    </row>
    <row r="194" spans="1:7">
      <c r="A194" s="2">
        <v>193</v>
      </c>
      <c r="B194" s="2">
        <v>2</v>
      </c>
      <c r="C194" s="2">
        <v>3</v>
      </c>
      <c r="D194" s="2">
        <v>5</v>
      </c>
      <c r="E194" s="2">
        <v>5</v>
      </c>
      <c r="F194" s="2">
        <v>1</v>
      </c>
      <c r="G194" s="2">
        <v>40</v>
      </c>
    </row>
    <row r="195" spans="1:7">
      <c r="A195" s="2">
        <v>194</v>
      </c>
      <c r="B195" s="2">
        <v>2</v>
      </c>
      <c r="C195" s="2">
        <v>3</v>
      </c>
      <c r="D195" s="2">
        <v>5</v>
      </c>
      <c r="E195" s="2">
        <v>5</v>
      </c>
      <c r="F195" s="2">
        <v>2</v>
      </c>
      <c r="G195" s="2">
        <v>35</v>
      </c>
    </row>
    <row r="196" spans="1:7">
      <c r="A196" s="2">
        <v>195</v>
      </c>
      <c r="B196" s="2">
        <v>2</v>
      </c>
      <c r="C196" s="2">
        <v>3</v>
      </c>
      <c r="D196" s="2">
        <v>5</v>
      </c>
      <c r="E196" s="2">
        <v>5</v>
      </c>
      <c r="F196" s="2">
        <v>3</v>
      </c>
      <c r="G196" s="2">
        <v>30</v>
      </c>
    </row>
    <row r="197" spans="1:7">
      <c r="A197" s="2">
        <v>196</v>
      </c>
      <c r="B197" s="2">
        <v>2</v>
      </c>
      <c r="C197" s="2">
        <v>3</v>
      </c>
      <c r="D197" s="2">
        <v>5</v>
      </c>
      <c r="E197" s="2">
        <v>6</v>
      </c>
      <c r="F197" s="2">
        <v>1</v>
      </c>
      <c r="G197" s="2">
        <v>40</v>
      </c>
    </row>
    <row r="198" spans="1:7">
      <c r="A198" s="2">
        <v>197</v>
      </c>
      <c r="B198" s="2">
        <v>2</v>
      </c>
      <c r="C198" s="2">
        <v>3</v>
      </c>
      <c r="D198" s="2">
        <v>5</v>
      </c>
      <c r="E198" s="2">
        <v>6</v>
      </c>
      <c r="F198" s="2">
        <v>2</v>
      </c>
      <c r="G198" s="2">
        <v>35</v>
      </c>
    </row>
    <row r="199" spans="1:7">
      <c r="A199" s="2">
        <v>198</v>
      </c>
      <c r="B199" s="2">
        <v>2</v>
      </c>
      <c r="C199" s="2">
        <v>3</v>
      </c>
      <c r="D199" s="2">
        <v>5</v>
      </c>
      <c r="E199" s="2">
        <v>6</v>
      </c>
      <c r="F199" s="2">
        <v>3</v>
      </c>
      <c r="G199" s="2">
        <v>30</v>
      </c>
    </row>
    <row r="200" spans="1:7">
      <c r="A200" s="2">
        <v>199</v>
      </c>
      <c r="B200" s="2">
        <v>2</v>
      </c>
      <c r="C200" s="2">
        <v>3</v>
      </c>
      <c r="D200" s="2">
        <v>5</v>
      </c>
      <c r="E200" s="2">
        <v>7</v>
      </c>
      <c r="F200" s="2">
        <v>1</v>
      </c>
      <c r="G200" s="2">
        <v>45</v>
      </c>
    </row>
    <row r="201" spans="1:7">
      <c r="A201" s="2">
        <v>200</v>
      </c>
      <c r="B201" s="2">
        <v>2</v>
      </c>
      <c r="C201" s="2">
        <v>3</v>
      </c>
      <c r="D201" s="2">
        <v>5</v>
      </c>
      <c r="E201" s="2">
        <v>7</v>
      </c>
      <c r="F201" s="2">
        <v>2</v>
      </c>
      <c r="G201" s="2">
        <v>40</v>
      </c>
    </row>
    <row r="202" spans="1:7">
      <c r="A202" s="2">
        <v>201</v>
      </c>
      <c r="B202" s="2">
        <v>2</v>
      </c>
      <c r="C202" s="2">
        <v>3</v>
      </c>
      <c r="D202" s="2">
        <v>5</v>
      </c>
      <c r="E202" s="2">
        <v>7</v>
      </c>
      <c r="F202" s="2">
        <v>3</v>
      </c>
      <c r="G202" s="2">
        <v>35</v>
      </c>
    </row>
    <row r="203" spans="1:7">
      <c r="A203" s="2">
        <v>202</v>
      </c>
      <c r="B203" s="2">
        <v>2</v>
      </c>
      <c r="C203" s="2">
        <v>3</v>
      </c>
      <c r="D203" s="2">
        <v>5</v>
      </c>
      <c r="E203" s="2">
        <v>8</v>
      </c>
      <c r="F203" s="2">
        <v>1</v>
      </c>
      <c r="G203" s="2">
        <v>45</v>
      </c>
    </row>
    <row r="204" spans="1:7">
      <c r="A204" s="2">
        <v>203</v>
      </c>
      <c r="B204" s="2">
        <v>2</v>
      </c>
      <c r="C204" s="2">
        <v>3</v>
      </c>
      <c r="D204" s="2">
        <v>5</v>
      </c>
      <c r="E204" s="2">
        <v>8</v>
      </c>
      <c r="F204" s="2">
        <v>2</v>
      </c>
      <c r="G204" s="2">
        <v>40</v>
      </c>
    </row>
    <row r="205" spans="1:7">
      <c r="A205" s="2">
        <v>204</v>
      </c>
      <c r="B205" s="2">
        <v>2</v>
      </c>
      <c r="C205" s="2">
        <v>3</v>
      </c>
      <c r="D205" s="2">
        <v>5</v>
      </c>
      <c r="E205" s="2">
        <v>8</v>
      </c>
      <c r="F205" s="2">
        <v>3</v>
      </c>
      <c r="G205" s="2">
        <v>35</v>
      </c>
    </row>
    <row r="206" spans="1:7">
      <c r="A206" s="2">
        <v>205</v>
      </c>
      <c r="B206" s="2">
        <v>2</v>
      </c>
      <c r="C206" s="2">
        <v>3</v>
      </c>
      <c r="D206" s="2">
        <v>5</v>
      </c>
      <c r="E206" s="2">
        <v>9</v>
      </c>
      <c r="F206" s="2">
        <v>1</v>
      </c>
      <c r="G206" s="2">
        <v>45</v>
      </c>
    </row>
    <row r="207" spans="1:7">
      <c r="A207" s="2">
        <v>206</v>
      </c>
      <c r="B207" s="2">
        <v>2</v>
      </c>
      <c r="C207" s="2">
        <v>3</v>
      </c>
      <c r="D207" s="2">
        <v>5</v>
      </c>
      <c r="E207" s="2">
        <v>9</v>
      </c>
      <c r="F207" s="2">
        <v>2</v>
      </c>
      <c r="G207" s="2">
        <v>40</v>
      </c>
    </row>
    <row r="208" spans="1:7">
      <c r="A208" s="2">
        <v>207</v>
      </c>
      <c r="B208" s="2">
        <v>2</v>
      </c>
      <c r="C208" s="2">
        <v>3</v>
      </c>
      <c r="D208" s="2">
        <v>5</v>
      </c>
      <c r="E208" s="2">
        <v>9</v>
      </c>
      <c r="F208" s="2">
        <v>3</v>
      </c>
      <c r="G208" s="2">
        <v>35</v>
      </c>
    </row>
    <row r="209" spans="1:7">
      <c r="A209" s="2">
        <v>208</v>
      </c>
      <c r="B209" s="2">
        <v>2</v>
      </c>
      <c r="C209" s="2">
        <v>3</v>
      </c>
      <c r="D209" s="2">
        <v>5</v>
      </c>
      <c r="E209" s="2">
        <v>10</v>
      </c>
      <c r="F209" s="2">
        <v>1</v>
      </c>
      <c r="G209" s="2">
        <v>45</v>
      </c>
    </row>
    <row r="210" spans="1:7">
      <c r="A210" s="2">
        <v>209</v>
      </c>
      <c r="B210" s="2">
        <v>2</v>
      </c>
      <c r="C210" s="2">
        <v>3</v>
      </c>
      <c r="D210" s="2">
        <v>5</v>
      </c>
      <c r="E210" s="2">
        <v>10</v>
      </c>
      <c r="F210" s="2">
        <v>2</v>
      </c>
      <c r="G210" s="2">
        <v>40</v>
      </c>
    </row>
    <row r="211" spans="1:7">
      <c r="A211" s="2">
        <v>210</v>
      </c>
      <c r="B211" s="2">
        <v>2</v>
      </c>
      <c r="C211" s="2">
        <v>3</v>
      </c>
      <c r="D211" s="2">
        <v>5</v>
      </c>
      <c r="E211" s="2">
        <v>10</v>
      </c>
      <c r="F211" s="2">
        <v>3</v>
      </c>
      <c r="G211" s="2">
        <v>35</v>
      </c>
    </row>
    <row r="212" spans="1:7">
      <c r="A212" s="2">
        <v>211</v>
      </c>
      <c r="B212" s="2">
        <v>2</v>
      </c>
      <c r="C212" s="2">
        <v>3</v>
      </c>
      <c r="D212" s="2">
        <v>5</v>
      </c>
      <c r="E212" s="2">
        <v>11</v>
      </c>
      <c r="F212" s="2">
        <v>1</v>
      </c>
      <c r="G212" s="2">
        <v>53</v>
      </c>
    </row>
    <row r="213" spans="1:7">
      <c r="A213" s="2">
        <v>212</v>
      </c>
      <c r="B213" s="2">
        <v>2</v>
      </c>
      <c r="C213" s="2">
        <v>3</v>
      </c>
      <c r="D213" s="2">
        <v>5</v>
      </c>
      <c r="E213" s="2">
        <v>11</v>
      </c>
      <c r="F213" s="2">
        <v>2</v>
      </c>
      <c r="G213" s="2">
        <v>48</v>
      </c>
    </row>
    <row r="214" spans="1:7">
      <c r="A214" s="2">
        <v>213</v>
      </c>
      <c r="B214" s="2">
        <v>2</v>
      </c>
      <c r="C214" s="2">
        <v>3</v>
      </c>
      <c r="D214" s="2">
        <v>5</v>
      </c>
      <c r="E214" s="2">
        <v>11</v>
      </c>
      <c r="F214" s="2">
        <v>3</v>
      </c>
      <c r="G214" s="2">
        <v>43</v>
      </c>
    </row>
    <row r="215" spans="1:7">
      <c r="A215" s="2">
        <v>214</v>
      </c>
      <c r="B215" s="2">
        <v>2</v>
      </c>
      <c r="C215" s="2">
        <v>3</v>
      </c>
      <c r="D215" s="2">
        <v>5</v>
      </c>
      <c r="E215" s="2">
        <v>12</v>
      </c>
      <c r="F215" s="2">
        <v>1</v>
      </c>
      <c r="G215" s="2">
        <v>55</v>
      </c>
    </row>
    <row r="216" spans="1:7">
      <c r="A216" s="2">
        <v>215</v>
      </c>
      <c r="B216" s="2">
        <v>2</v>
      </c>
      <c r="C216" s="2">
        <v>3</v>
      </c>
      <c r="D216" s="2">
        <v>5</v>
      </c>
      <c r="E216" s="2">
        <v>12</v>
      </c>
      <c r="F216" s="2">
        <v>2</v>
      </c>
      <c r="G216" s="2">
        <v>50</v>
      </c>
    </row>
    <row r="217" spans="1:7">
      <c r="A217" s="2">
        <v>216</v>
      </c>
      <c r="B217" s="2">
        <v>2</v>
      </c>
      <c r="C217" s="2">
        <v>3</v>
      </c>
      <c r="D217" s="2">
        <v>5</v>
      </c>
      <c r="E217" s="2">
        <v>12</v>
      </c>
      <c r="F217" s="2">
        <v>3</v>
      </c>
      <c r="G217" s="2">
        <v>45</v>
      </c>
    </row>
    <row r="218" spans="1:7">
      <c r="A218" s="2">
        <v>217</v>
      </c>
      <c r="B218" s="2">
        <v>2</v>
      </c>
      <c r="C218" s="2">
        <v>4</v>
      </c>
      <c r="D218" s="2">
        <v>4</v>
      </c>
      <c r="E218" s="2">
        <v>1</v>
      </c>
      <c r="F218" s="2">
        <v>1</v>
      </c>
      <c r="G218" s="2">
        <v>40</v>
      </c>
    </row>
    <row r="219" spans="1:7">
      <c r="A219" s="2">
        <v>218</v>
      </c>
      <c r="B219" s="2">
        <v>2</v>
      </c>
      <c r="C219" s="2">
        <v>4</v>
      </c>
      <c r="D219" s="2">
        <v>4</v>
      </c>
      <c r="E219" s="2">
        <v>1</v>
      </c>
      <c r="F219" s="2">
        <v>2</v>
      </c>
      <c r="G219" s="2">
        <v>35</v>
      </c>
    </row>
    <row r="220" spans="1:7">
      <c r="A220" s="2">
        <v>219</v>
      </c>
      <c r="B220" s="2">
        <v>2</v>
      </c>
      <c r="C220" s="2">
        <v>4</v>
      </c>
      <c r="D220" s="2">
        <v>4</v>
      </c>
      <c r="E220" s="2">
        <v>1</v>
      </c>
      <c r="F220" s="2">
        <v>3</v>
      </c>
      <c r="G220" s="2">
        <v>30</v>
      </c>
    </row>
    <row r="221" spans="1:7">
      <c r="A221" s="2">
        <v>220</v>
      </c>
      <c r="B221" s="2">
        <v>2</v>
      </c>
      <c r="C221" s="2">
        <v>4</v>
      </c>
      <c r="D221" s="2">
        <v>4</v>
      </c>
      <c r="E221" s="2">
        <v>2</v>
      </c>
      <c r="F221" s="2">
        <v>1</v>
      </c>
      <c r="G221" s="2">
        <v>40</v>
      </c>
    </row>
    <row r="222" spans="1:7">
      <c r="A222" s="2">
        <v>221</v>
      </c>
      <c r="B222" s="2">
        <v>2</v>
      </c>
      <c r="C222" s="2">
        <v>4</v>
      </c>
      <c r="D222" s="2">
        <v>4</v>
      </c>
      <c r="E222" s="2">
        <v>2</v>
      </c>
      <c r="F222" s="2">
        <v>2</v>
      </c>
      <c r="G222" s="2">
        <v>35</v>
      </c>
    </row>
    <row r="223" spans="1:7">
      <c r="A223" s="2">
        <v>222</v>
      </c>
      <c r="B223" s="2">
        <v>2</v>
      </c>
      <c r="C223" s="2">
        <v>4</v>
      </c>
      <c r="D223" s="2">
        <v>4</v>
      </c>
      <c r="E223" s="2">
        <v>2</v>
      </c>
      <c r="F223" s="2">
        <v>3</v>
      </c>
      <c r="G223" s="2">
        <v>30</v>
      </c>
    </row>
    <row r="224" spans="1:7">
      <c r="A224" s="2">
        <v>223</v>
      </c>
      <c r="B224" s="2">
        <v>2</v>
      </c>
      <c r="C224" s="2">
        <v>4</v>
      </c>
      <c r="D224" s="2">
        <v>4</v>
      </c>
      <c r="E224" s="2">
        <v>3</v>
      </c>
      <c r="F224" s="2">
        <v>1</v>
      </c>
      <c r="G224" s="2">
        <v>40</v>
      </c>
    </row>
    <row r="225" spans="1:7">
      <c r="A225" s="2">
        <v>224</v>
      </c>
      <c r="B225" s="2">
        <v>2</v>
      </c>
      <c r="C225" s="2">
        <v>4</v>
      </c>
      <c r="D225" s="2">
        <v>4</v>
      </c>
      <c r="E225" s="2">
        <v>3</v>
      </c>
      <c r="F225" s="2">
        <v>2</v>
      </c>
      <c r="G225" s="2">
        <v>35</v>
      </c>
    </row>
    <row r="226" spans="1:7">
      <c r="A226" s="2">
        <v>225</v>
      </c>
      <c r="B226" s="2">
        <v>2</v>
      </c>
      <c r="C226" s="2">
        <v>4</v>
      </c>
      <c r="D226" s="2">
        <v>4</v>
      </c>
      <c r="E226" s="2">
        <v>3</v>
      </c>
      <c r="F226" s="2">
        <v>3</v>
      </c>
      <c r="G226" s="2">
        <v>30</v>
      </c>
    </row>
    <row r="227" spans="1:7">
      <c r="A227" s="2">
        <v>226</v>
      </c>
      <c r="B227" s="2">
        <v>2</v>
      </c>
      <c r="C227" s="2">
        <v>4</v>
      </c>
      <c r="D227" s="2">
        <v>4</v>
      </c>
      <c r="E227" s="2">
        <v>4</v>
      </c>
      <c r="F227" s="2">
        <v>1</v>
      </c>
      <c r="G227" s="2">
        <v>40</v>
      </c>
    </row>
    <row r="228" spans="1:7">
      <c r="A228" s="2">
        <v>227</v>
      </c>
      <c r="B228" s="2">
        <v>2</v>
      </c>
      <c r="C228" s="2">
        <v>4</v>
      </c>
      <c r="D228" s="2">
        <v>4</v>
      </c>
      <c r="E228" s="2">
        <v>4</v>
      </c>
      <c r="F228" s="2">
        <v>2</v>
      </c>
      <c r="G228" s="2">
        <v>35</v>
      </c>
    </row>
    <row r="229" spans="1:7">
      <c r="A229" s="2">
        <v>228</v>
      </c>
      <c r="B229" s="2">
        <v>2</v>
      </c>
      <c r="C229" s="2">
        <v>4</v>
      </c>
      <c r="D229" s="2">
        <v>4</v>
      </c>
      <c r="E229" s="2">
        <v>4</v>
      </c>
      <c r="F229" s="2">
        <v>3</v>
      </c>
      <c r="G229" s="2">
        <v>30</v>
      </c>
    </row>
    <row r="230" spans="1:7">
      <c r="A230" s="2">
        <v>229</v>
      </c>
      <c r="B230" s="2">
        <v>2</v>
      </c>
      <c r="C230" s="2">
        <v>4</v>
      </c>
      <c r="D230" s="2">
        <v>4</v>
      </c>
      <c r="E230" s="2">
        <v>5</v>
      </c>
      <c r="F230" s="2">
        <v>1</v>
      </c>
      <c r="G230" s="2">
        <v>40</v>
      </c>
    </row>
    <row r="231" spans="1:7">
      <c r="A231" s="2">
        <v>230</v>
      </c>
      <c r="B231" s="2">
        <v>2</v>
      </c>
      <c r="C231" s="2">
        <v>4</v>
      </c>
      <c r="D231" s="2">
        <v>4</v>
      </c>
      <c r="E231" s="2">
        <v>5</v>
      </c>
      <c r="F231" s="2">
        <v>2</v>
      </c>
      <c r="G231" s="2">
        <v>35</v>
      </c>
    </row>
    <row r="232" spans="1:7">
      <c r="A232" s="2">
        <v>231</v>
      </c>
      <c r="B232" s="2">
        <v>2</v>
      </c>
      <c r="C232" s="2">
        <v>4</v>
      </c>
      <c r="D232" s="2">
        <v>4</v>
      </c>
      <c r="E232" s="2">
        <v>5</v>
      </c>
      <c r="F232" s="2">
        <v>3</v>
      </c>
      <c r="G232" s="2">
        <v>30</v>
      </c>
    </row>
    <row r="233" spans="1:7">
      <c r="A233" s="2">
        <v>232</v>
      </c>
      <c r="B233" s="2">
        <v>2</v>
      </c>
      <c r="C233" s="2">
        <v>4</v>
      </c>
      <c r="D233" s="2">
        <v>4</v>
      </c>
      <c r="E233" s="2">
        <v>6</v>
      </c>
      <c r="F233" s="2">
        <v>1</v>
      </c>
      <c r="G233" s="2">
        <v>40</v>
      </c>
    </row>
    <row r="234" spans="1:7">
      <c r="A234" s="2">
        <v>233</v>
      </c>
      <c r="B234" s="2">
        <v>2</v>
      </c>
      <c r="C234" s="2">
        <v>4</v>
      </c>
      <c r="D234" s="2">
        <v>4</v>
      </c>
      <c r="E234" s="2">
        <v>6</v>
      </c>
      <c r="F234" s="2">
        <v>2</v>
      </c>
      <c r="G234" s="2">
        <v>35</v>
      </c>
    </row>
    <row r="235" spans="1:7">
      <c r="A235" s="2">
        <v>234</v>
      </c>
      <c r="B235" s="2">
        <v>2</v>
      </c>
      <c r="C235" s="2">
        <v>4</v>
      </c>
      <c r="D235" s="2">
        <v>4</v>
      </c>
      <c r="E235" s="2">
        <v>6</v>
      </c>
      <c r="F235" s="2">
        <v>3</v>
      </c>
      <c r="G235" s="2">
        <v>30</v>
      </c>
    </row>
    <row r="236" spans="1:7">
      <c r="A236" s="2">
        <v>235</v>
      </c>
      <c r="B236" s="2">
        <v>2</v>
      </c>
      <c r="C236" s="2">
        <v>4</v>
      </c>
      <c r="D236" s="2">
        <v>4</v>
      </c>
      <c r="E236" s="2">
        <v>7</v>
      </c>
      <c r="F236" s="2">
        <v>1</v>
      </c>
      <c r="G236" s="2">
        <v>45</v>
      </c>
    </row>
    <row r="237" spans="1:7">
      <c r="A237" s="2">
        <v>236</v>
      </c>
      <c r="B237" s="2">
        <v>2</v>
      </c>
      <c r="C237" s="2">
        <v>4</v>
      </c>
      <c r="D237" s="2">
        <v>4</v>
      </c>
      <c r="E237" s="2">
        <v>7</v>
      </c>
      <c r="F237" s="2">
        <v>2</v>
      </c>
      <c r="G237" s="2">
        <v>40</v>
      </c>
    </row>
    <row r="238" spans="1:7">
      <c r="A238" s="2">
        <v>237</v>
      </c>
      <c r="B238" s="2">
        <v>2</v>
      </c>
      <c r="C238" s="2">
        <v>4</v>
      </c>
      <c r="D238" s="2">
        <v>4</v>
      </c>
      <c r="E238" s="2">
        <v>7</v>
      </c>
      <c r="F238" s="2">
        <v>3</v>
      </c>
      <c r="G238" s="2">
        <v>35</v>
      </c>
    </row>
    <row r="239" spans="1:7">
      <c r="A239" s="2">
        <v>238</v>
      </c>
      <c r="B239" s="2">
        <v>2</v>
      </c>
      <c r="C239" s="2">
        <v>4</v>
      </c>
      <c r="D239" s="2">
        <v>4</v>
      </c>
      <c r="E239" s="2">
        <v>8</v>
      </c>
      <c r="F239" s="2">
        <v>1</v>
      </c>
      <c r="G239" s="2">
        <v>45</v>
      </c>
    </row>
    <row r="240" spans="1:7">
      <c r="A240" s="2">
        <v>239</v>
      </c>
      <c r="B240" s="2">
        <v>2</v>
      </c>
      <c r="C240" s="2">
        <v>4</v>
      </c>
      <c r="D240" s="2">
        <v>4</v>
      </c>
      <c r="E240" s="2">
        <v>8</v>
      </c>
      <c r="F240" s="2">
        <v>2</v>
      </c>
      <c r="G240" s="2">
        <v>40</v>
      </c>
    </row>
    <row r="241" spans="1:7">
      <c r="A241" s="2">
        <v>240</v>
      </c>
      <c r="B241" s="2">
        <v>2</v>
      </c>
      <c r="C241" s="2">
        <v>4</v>
      </c>
      <c r="D241" s="2">
        <v>4</v>
      </c>
      <c r="E241" s="2">
        <v>8</v>
      </c>
      <c r="F241" s="2">
        <v>3</v>
      </c>
      <c r="G241" s="2">
        <v>35</v>
      </c>
    </row>
    <row r="242" spans="1:7">
      <c r="A242" s="2">
        <v>241</v>
      </c>
      <c r="B242" s="2">
        <v>2</v>
      </c>
      <c r="C242" s="2">
        <v>4</v>
      </c>
      <c r="D242" s="2">
        <v>4</v>
      </c>
      <c r="E242" s="2">
        <v>9</v>
      </c>
      <c r="F242" s="2">
        <v>1</v>
      </c>
      <c r="G242" s="2">
        <v>45</v>
      </c>
    </row>
    <row r="243" spans="1:7">
      <c r="A243" s="2">
        <v>242</v>
      </c>
      <c r="B243" s="2">
        <v>2</v>
      </c>
      <c r="C243" s="2">
        <v>4</v>
      </c>
      <c r="D243" s="2">
        <v>4</v>
      </c>
      <c r="E243" s="2">
        <v>9</v>
      </c>
      <c r="F243" s="2">
        <v>2</v>
      </c>
      <c r="G243" s="2">
        <v>40</v>
      </c>
    </row>
    <row r="244" spans="1:7">
      <c r="A244" s="2">
        <v>243</v>
      </c>
      <c r="B244" s="2">
        <v>2</v>
      </c>
      <c r="C244" s="2">
        <v>4</v>
      </c>
      <c r="D244" s="2">
        <v>4</v>
      </c>
      <c r="E244" s="2">
        <v>9</v>
      </c>
      <c r="F244" s="2">
        <v>3</v>
      </c>
      <c r="G244" s="2">
        <v>35</v>
      </c>
    </row>
    <row r="245" spans="1:7">
      <c r="A245" s="2">
        <v>244</v>
      </c>
      <c r="B245" s="2">
        <v>2</v>
      </c>
      <c r="C245" s="2">
        <v>4</v>
      </c>
      <c r="D245" s="2">
        <v>4</v>
      </c>
      <c r="E245" s="2">
        <v>10</v>
      </c>
      <c r="F245" s="2">
        <v>1</v>
      </c>
      <c r="G245" s="2">
        <v>45</v>
      </c>
    </row>
    <row r="246" spans="1:7">
      <c r="A246" s="2">
        <v>245</v>
      </c>
      <c r="B246" s="2">
        <v>2</v>
      </c>
      <c r="C246" s="2">
        <v>4</v>
      </c>
      <c r="D246" s="2">
        <v>4</v>
      </c>
      <c r="E246" s="2">
        <v>10</v>
      </c>
      <c r="F246" s="2">
        <v>2</v>
      </c>
      <c r="G246" s="2">
        <v>40</v>
      </c>
    </row>
    <row r="247" spans="1:7">
      <c r="A247" s="2">
        <v>246</v>
      </c>
      <c r="B247" s="2">
        <v>2</v>
      </c>
      <c r="C247" s="2">
        <v>4</v>
      </c>
      <c r="D247" s="2">
        <v>4</v>
      </c>
      <c r="E247" s="2">
        <v>10</v>
      </c>
      <c r="F247" s="2">
        <v>3</v>
      </c>
      <c r="G247" s="2">
        <v>35</v>
      </c>
    </row>
    <row r="248" spans="1:7">
      <c r="A248" s="2">
        <v>247</v>
      </c>
      <c r="B248" s="2">
        <v>2</v>
      </c>
      <c r="C248" s="2">
        <v>4</v>
      </c>
      <c r="D248" s="2">
        <v>4</v>
      </c>
      <c r="E248" s="2">
        <v>11</v>
      </c>
      <c r="F248" s="2">
        <v>1</v>
      </c>
      <c r="G248" s="2">
        <v>53</v>
      </c>
    </row>
    <row r="249" spans="1:7">
      <c r="A249" s="2">
        <v>248</v>
      </c>
      <c r="B249" s="2">
        <v>2</v>
      </c>
      <c r="C249" s="2">
        <v>4</v>
      </c>
      <c r="D249" s="2">
        <v>4</v>
      </c>
      <c r="E249" s="2">
        <v>11</v>
      </c>
      <c r="F249" s="2">
        <v>2</v>
      </c>
      <c r="G249" s="2">
        <v>48</v>
      </c>
    </row>
    <row r="250" spans="1:7">
      <c r="A250" s="2">
        <v>249</v>
      </c>
      <c r="B250" s="2">
        <v>2</v>
      </c>
      <c r="C250" s="2">
        <v>4</v>
      </c>
      <c r="D250" s="2">
        <v>4</v>
      </c>
      <c r="E250" s="2">
        <v>11</v>
      </c>
      <c r="F250" s="2">
        <v>3</v>
      </c>
      <c r="G250" s="2">
        <v>43</v>
      </c>
    </row>
    <row r="251" spans="1:7">
      <c r="A251" s="2">
        <v>250</v>
      </c>
      <c r="B251" s="2">
        <v>2</v>
      </c>
      <c r="C251" s="2">
        <v>4</v>
      </c>
      <c r="D251" s="2">
        <v>4</v>
      </c>
      <c r="E251" s="2">
        <v>12</v>
      </c>
      <c r="F251" s="2">
        <v>1</v>
      </c>
      <c r="G251" s="2">
        <v>55</v>
      </c>
    </row>
    <row r="252" spans="1:7">
      <c r="A252" s="2">
        <v>251</v>
      </c>
      <c r="B252" s="2">
        <v>2</v>
      </c>
      <c r="C252" s="2">
        <v>4</v>
      </c>
      <c r="D252" s="2">
        <v>4</v>
      </c>
      <c r="E252" s="2">
        <v>12</v>
      </c>
      <c r="F252" s="2">
        <v>2</v>
      </c>
      <c r="G252" s="2">
        <v>50</v>
      </c>
    </row>
    <row r="253" spans="1:7">
      <c r="A253" s="2">
        <v>252</v>
      </c>
      <c r="B253" s="2">
        <v>2</v>
      </c>
      <c r="C253" s="2">
        <v>4</v>
      </c>
      <c r="D253" s="2">
        <v>4</v>
      </c>
      <c r="E253" s="2">
        <v>12</v>
      </c>
      <c r="F253" s="2">
        <v>3</v>
      </c>
      <c r="G253" s="2">
        <v>45</v>
      </c>
    </row>
    <row r="254" spans="1:7">
      <c r="A254" s="2">
        <v>253</v>
      </c>
      <c r="B254" s="2">
        <v>2</v>
      </c>
      <c r="C254" s="2">
        <v>4</v>
      </c>
      <c r="D254" s="2">
        <v>5</v>
      </c>
      <c r="E254" s="2">
        <v>1</v>
      </c>
      <c r="F254" s="2">
        <v>1</v>
      </c>
      <c r="G254" s="2">
        <v>35</v>
      </c>
    </row>
    <row r="255" spans="1:7">
      <c r="A255" s="2">
        <v>254</v>
      </c>
      <c r="B255" s="2">
        <v>2</v>
      </c>
      <c r="C255" s="2">
        <v>4</v>
      </c>
      <c r="D255" s="2">
        <v>5</v>
      </c>
      <c r="E255" s="2">
        <v>1</v>
      </c>
      <c r="F255" s="2">
        <v>2</v>
      </c>
      <c r="G255" s="2">
        <v>30</v>
      </c>
    </row>
    <row r="256" spans="1:7">
      <c r="A256" s="2">
        <v>255</v>
      </c>
      <c r="B256" s="2">
        <v>2</v>
      </c>
      <c r="C256" s="2">
        <v>4</v>
      </c>
      <c r="D256" s="2">
        <v>5</v>
      </c>
      <c r="E256" s="2">
        <v>1</v>
      </c>
      <c r="F256" s="2">
        <v>3</v>
      </c>
      <c r="G256" s="2">
        <v>25</v>
      </c>
    </row>
    <row r="257" spans="1:7">
      <c r="A257" s="2">
        <v>256</v>
      </c>
      <c r="B257" s="2">
        <v>2</v>
      </c>
      <c r="C257" s="2">
        <v>4</v>
      </c>
      <c r="D257" s="2">
        <v>5</v>
      </c>
      <c r="E257" s="2">
        <v>2</v>
      </c>
      <c r="F257" s="2">
        <v>1</v>
      </c>
      <c r="G257" s="2">
        <v>35</v>
      </c>
    </row>
    <row r="258" spans="1:7">
      <c r="A258" s="2">
        <v>257</v>
      </c>
      <c r="B258" s="2">
        <v>2</v>
      </c>
      <c r="C258" s="2">
        <v>4</v>
      </c>
      <c r="D258" s="2">
        <v>5</v>
      </c>
      <c r="E258" s="2">
        <v>2</v>
      </c>
      <c r="F258" s="2">
        <v>2</v>
      </c>
      <c r="G258" s="2">
        <v>30</v>
      </c>
    </row>
    <row r="259" spans="1:7">
      <c r="A259" s="2">
        <v>258</v>
      </c>
      <c r="B259" s="2">
        <v>2</v>
      </c>
      <c r="C259" s="2">
        <v>4</v>
      </c>
      <c r="D259" s="2">
        <v>5</v>
      </c>
      <c r="E259" s="2">
        <v>2</v>
      </c>
      <c r="F259" s="2">
        <v>3</v>
      </c>
      <c r="G259" s="2">
        <v>25</v>
      </c>
    </row>
    <row r="260" spans="1:7">
      <c r="A260" s="2">
        <v>259</v>
      </c>
      <c r="B260" s="2">
        <v>2</v>
      </c>
      <c r="C260" s="2">
        <v>4</v>
      </c>
      <c r="D260" s="2">
        <v>5</v>
      </c>
      <c r="E260" s="2">
        <v>3</v>
      </c>
      <c r="F260" s="2">
        <v>1</v>
      </c>
      <c r="G260" s="2">
        <v>35</v>
      </c>
    </row>
    <row r="261" spans="1:7">
      <c r="A261" s="2">
        <v>260</v>
      </c>
      <c r="B261" s="2">
        <v>2</v>
      </c>
      <c r="C261" s="2">
        <v>4</v>
      </c>
      <c r="D261" s="2">
        <v>5</v>
      </c>
      <c r="E261" s="2">
        <v>3</v>
      </c>
      <c r="F261" s="2">
        <v>2</v>
      </c>
      <c r="G261" s="2">
        <v>30</v>
      </c>
    </row>
    <row r="262" spans="1:7">
      <c r="A262" s="2">
        <v>261</v>
      </c>
      <c r="B262" s="2">
        <v>2</v>
      </c>
      <c r="C262" s="2">
        <v>4</v>
      </c>
      <c r="D262" s="2">
        <v>5</v>
      </c>
      <c r="E262" s="2">
        <v>3</v>
      </c>
      <c r="F262" s="2">
        <v>3</v>
      </c>
      <c r="G262" s="2">
        <v>25</v>
      </c>
    </row>
    <row r="263" spans="1:7">
      <c r="A263" s="2">
        <v>262</v>
      </c>
      <c r="B263" s="2">
        <v>2</v>
      </c>
      <c r="C263" s="2">
        <v>4</v>
      </c>
      <c r="D263" s="2">
        <v>5</v>
      </c>
      <c r="E263" s="2">
        <v>4</v>
      </c>
      <c r="F263" s="2">
        <v>1</v>
      </c>
      <c r="G263" s="2">
        <v>35</v>
      </c>
    </row>
    <row r="264" spans="1:7">
      <c r="A264" s="2">
        <v>263</v>
      </c>
      <c r="B264" s="2">
        <v>2</v>
      </c>
      <c r="C264" s="2">
        <v>4</v>
      </c>
      <c r="D264" s="2">
        <v>5</v>
      </c>
      <c r="E264" s="2">
        <v>4</v>
      </c>
      <c r="F264" s="2">
        <v>2</v>
      </c>
      <c r="G264" s="2">
        <v>30</v>
      </c>
    </row>
    <row r="265" spans="1:7">
      <c r="A265" s="2">
        <v>264</v>
      </c>
      <c r="B265" s="2">
        <v>2</v>
      </c>
      <c r="C265" s="2">
        <v>4</v>
      </c>
      <c r="D265" s="2">
        <v>5</v>
      </c>
      <c r="E265" s="2">
        <v>4</v>
      </c>
      <c r="F265" s="2">
        <v>3</v>
      </c>
      <c r="G265" s="2">
        <v>25</v>
      </c>
    </row>
    <row r="266" spans="1:7">
      <c r="A266" s="2">
        <v>265</v>
      </c>
      <c r="B266" s="2">
        <v>2</v>
      </c>
      <c r="C266" s="2">
        <v>4</v>
      </c>
      <c r="D266" s="2">
        <v>5</v>
      </c>
      <c r="E266" s="2">
        <v>5</v>
      </c>
      <c r="F266" s="2">
        <v>1</v>
      </c>
      <c r="G266" s="2">
        <v>35</v>
      </c>
    </row>
    <row r="267" spans="1:7">
      <c r="A267" s="2">
        <v>266</v>
      </c>
      <c r="B267" s="2">
        <v>2</v>
      </c>
      <c r="C267" s="2">
        <v>4</v>
      </c>
      <c r="D267" s="2">
        <v>5</v>
      </c>
      <c r="E267" s="2">
        <v>5</v>
      </c>
      <c r="F267" s="2">
        <v>2</v>
      </c>
      <c r="G267" s="2">
        <v>30</v>
      </c>
    </row>
    <row r="268" spans="1:7">
      <c r="A268" s="2">
        <v>267</v>
      </c>
      <c r="B268" s="2">
        <v>2</v>
      </c>
      <c r="C268" s="2">
        <v>4</v>
      </c>
      <c r="D268" s="2">
        <v>5</v>
      </c>
      <c r="E268" s="2">
        <v>5</v>
      </c>
      <c r="F268" s="2">
        <v>3</v>
      </c>
      <c r="G268" s="2">
        <v>25</v>
      </c>
    </row>
    <row r="269" spans="1:7">
      <c r="A269" s="2">
        <v>268</v>
      </c>
      <c r="B269" s="2">
        <v>2</v>
      </c>
      <c r="C269" s="2">
        <v>4</v>
      </c>
      <c r="D269" s="2">
        <v>5</v>
      </c>
      <c r="E269" s="2">
        <v>6</v>
      </c>
      <c r="F269" s="2">
        <v>1</v>
      </c>
      <c r="G269" s="2">
        <v>35</v>
      </c>
    </row>
    <row r="270" spans="1:7">
      <c r="A270" s="2">
        <v>269</v>
      </c>
      <c r="B270" s="2">
        <v>2</v>
      </c>
      <c r="C270" s="2">
        <v>4</v>
      </c>
      <c r="D270" s="2">
        <v>5</v>
      </c>
      <c r="E270" s="2">
        <v>6</v>
      </c>
      <c r="F270" s="2">
        <v>2</v>
      </c>
      <c r="G270" s="2">
        <v>30</v>
      </c>
    </row>
    <row r="271" spans="1:7">
      <c r="A271" s="2">
        <v>270</v>
      </c>
      <c r="B271" s="2">
        <v>2</v>
      </c>
      <c r="C271" s="2">
        <v>4</v>
      </c>
      <c r="D271" s="2">
        <v>5</v>
      </c>
      <c r="E271" s="2">
        <v>6</v>
      </c>
      <c r="F271" s="2">
        <v>3</v>
      </c>
      <c r="G271" s="2">
        <v>25</v>
      </c>
    </row>
    <row r="272" spans="1:7">
      <c r="A272" s="2">
        <v>271</v>
      </c>
      <c r="B272" s="2">
        <v>2</v>
      </c>
      <c r="C272" s="2">
        <v>4</v>
      </c>
      <c r="D272" s="2">
        <v>5</v>
      </c>
      <c r="E272" s="2">
        <v>7</v>
      </c>
      <c r="F272" s="2">
        <v>1</v>
      </c>
      <c r="G272" s="2">
        <v>40</v>
      </c>
    </row>
    <row r="273" spans="1:7">
      <c r="A273" s="2">
        <v>272</v>
      </c>
      <c r="B273" s="2">
        <v>2</v>
      </c>
      <c r="C273" s="2">
        <v>4</v>
      </c>
      <c r="D273" s="2">
        <v>5</v>
      </c>
      <c r="E273" s="2">
        <v>7</v>
      </c>
      <c r="F273" s="2">
        <v>2</v>
      </c>
      <c r="G273" s="2">
        <v>35</v>
      </c>
    </row>
    <row r="274" spans="1:7">
      <c r="A274" s="2">
        <v>273</v>
      </c>
      <c r="B274" s="2">
        <v>2</v>
      </c>
      <c r="C274" s="2">
        <v>4</v>
      </c>
      <c r="D274" s="2">
        <v>5</v>
      </c>
      <c r="E274" s="2">
        <v>7</v>
      </c>
      <c r="F274" s="2">
        <v>3</v>
      </c>
      <c r="G274" s="2">
        <v>30</v>
      </c>
    </row>
    <row r="275" spans="1:7">
      <c r="A275" s="2">
        <v>274</v>
      </c>
      <c r="B275" s="2">
        <v>2</v>
      </c>
      <c r="C275" s="2">
        <v>4</v>
      </c>
      <c r="D275" s="2">
        <v>5</v>
      </c>
      <c r="E275" s="2">
        <v>8</v>
      </c>
      <c r="F275" s="2">
        <v>1</v>
      </c>
      <c r="G275" s="2">
        <v>40</v>
      </c>
    </row>
    <row r="276" spans="1:7">
      <c r="A276" s="2">
        <v>275</v>
      </c>
      <c r="B276" s="2">
        <v>2</v>
      </c>
      <c r="C276" s="2">
        <v>4</v>
      </c>
      <c r="D276" s="2">
        <v>5</v>
      </c>
      <c r="E276" s="2">
        <v>8</v>
      </c>
      <c r="F276" s="2">
        <v>2</v>
      </c>
      <c r="G276" s="2">
        <v>35</v>
      </c>
    </row>
    <row r="277" spans="1:7">
      <c r="A277" s="2">
        <v>276</v>
      </c>
      <c r="B277" s="2">
        <v>2</v>
      </c>
      <c r="C277" s="2">
        <v>4</v>
      </c>
      <c r="D277" s="2">
        <v>5</v>
      </c>
      <c r="E277" s="2">
        <v>8</v>
      </c>
      <c r="F277" s="2">
        <v>3</v>
      </c>
      <c r="G277" s="2">
        <v>30</v>
      </c>
    </row>
    <row r="278" spans="1:7">
      <c r="A278" s="2">
        <v>277</v>
      </c>
      <c r="B278" s="2">
        <v>2</v>
      </c>
      <c r="C278" s="2">
        <v>4</v>
      </c>
      <c r="D278" s="2">
        <v>5</v>
      </c>
      <c r="E278" s="2">
        <v>9</v>
      </c>
      <c r="F278" s="2">
        <v>1</v>
      </c>
      <c r="G278" s="2">
        <v>40</v>
      </c>
    </row>
    <row r="279" spans="1:7">
      <c r="A279" s="2">
        <v>278</v>
      </c>
      <c r="B279" s="2">
        <v>2</v>
      </c>
      <c r="C279" s="2">
        <v>4</v>
      </c>
      <c r="D279" s="2">
        <v>5</v>
      </c>
      <c r="E279" s="2">
        <v>9</v>
      </c>
      <c r="F279" s="2">
        <v>2</v>
      </c>
      <c r="G279" s="2">
        <v>35</v>
      </c>
    </row>
    <row r="280" spans="1:7">
      <c r="A280" s="2">
        <v>279</v>
      </c>
      <c r="B280" s="2">
        <v>2</v>
      </c>
      <c r="C280" s="2">
        <v>4</v>
      </c>
      <c r="D280" s="2">
        <v>5</v>
      </c>
      <c r="E280" s="2">
        <v>9</v>
      </c>
      <c r="F280" s="2">
        <v>3</v>
      </c>
      <c r="G280" s="2">
        <v>30</v>
      </c>
    </row>
    <row r="281" spans="1:7">
      <c r="A281" s="2">
        <v>280</v>
      </c>
      <c r="B281" s="2">
        <v>2</v>
      </c>
      <c r="C281" s="2">
        <v>4</v>
      </c>
      <c r="D281" s="2">
        <v>5</v>
      </c>
      <c r="E281" s="2">
        <v>10</v>
      </c>
      <c r="F281" s="2">
        <v>1</v>
      </c>
      <c r="G281" s="2">
        <v>40</v>
      </c>
    </row>
    <row r="282" spans="1:7">
      <c r="A282" s="2">
        <v>281</v>
      </c>
      <c r="B282" s="2">
        <v>2</v>
      </c>
      <c r="C282" s="2">
        <v>4</v>
      </c>
      <c r="D282" s="2">
        <v>5</v>
      </c>
      <c r="E282" s="2">
        <v>10</v>
      </c>
      <c r="F282" s="2">
        <v>2</v>
      </c>
      <c r="G282" s="2">
        <v>35</v>
      </c>
    </row>
    <row r="283" spans="1:7">
      <c r="A283" s="2">
        <v>282</v>
      </c>
      <c r="B283" s="2">
        <v>2</v>
      </c>
      <c r="C283" s="2">
        <v>4</v>
      </c>
      <c r="D283" s="2">
        <v>5</v>
      </c>
      <c r="E283" s="2">
        <v>10</v>
      </c>
      <c r="F283" s="2">
        <v>3</v>
      </c>
      <c r="G283" s="2">
        <v>30</v>
      </c>
    </row>
    <row r="284" spans="1:7">
      <c r="A284" s="2">
        <v>283</v>
      </c>
      <c r="B284" s="2">
        <v>2</v>
      </c>
      <c r="C284" s="2">
        <v>4</v>
      </c>
      <c r="D284" s="2">
        <v>5</v>
      </c>
      <c r="E284" s="2">
        <v>11</v>
      </c>
      <c r="F284" s="2">
        <v>1</v>
      </c>
      <c r="G284" s="2">
        <v>48</v>
      </c>
    </row>
    <row r="285" spans="1:7">
      <c r="A285" s="2">
        <v>284</v>
      </c>
      <c r="B285" s="2">
        <v>2</v>
      </c>
      <c r="C285" s="2">
        <v>4</v>
      </c>
      <c r="D285" s="2">
        <v>5</v>
      </c>
      <c r="E285" s="2">
        <v>11</v>
      </c>
      <c r="F285" s="2">
        <v>2</v>
      </c>
      <c r="G285" s="2">
        <v>43</v>
      </c>
    </row>
    <row r="286" spans="1:7">
      <c r="A286" s="2">
        <v>285</v>
      </c>
      <c r="B286" s="2">
        <v>2</v>
      </c>
      <c r="C286" s="2">
        <v>4</v>
      </c>
      <c r="D286" s="2">
        <v>5</v>
      </c>
      <c r="E286" s="2">
        <v>11</v>
      </c>
      <c r="F286" s="2">
        <v>3</v>
      </c>
      <c r="G286" s="2">
        <v>38</v>
      </c>
    </row>
    <row r="287" spans="1:7">
      <c r="A287" s="2">
        <v>286</v>
      </c>
      <c r="B287" s="2">
        <v>2</v>
      </c>
      <c r="C287" s="2">
        <v>4</v>
      </c>
      <c r="D287" s="2">
        <v>5</v>
      </c>
      <c r="E287" s="2">
        <v>12</v>
      </c>
      <c r="F287" s="2">
        <v>1</v>
      </c>
      <c r="G287" s="2">
        <v>50</v>
      </c>
    </row>
    <row r="288" spans="1:7">
      <c r="A288" s="2">
        <v>287</v>
      </c>
      <c r="B288" s="2">
        <v>2</v>
      </c>
      <c r="C288" s="2">
        <v>4</v>
      </c>
      <c r="D288" s="2">
        <v>5</v>
      </c>
      <c r="E288" s="2">
        <v>12</v>
      </c>
      <c r="F288" s="2">
        <v>2</v>
      </c>
      <c r="G288" s="2">
        <v>45</v>
      </c>
    </row>
    <row r="289" spans="1:7">
      <c r="A289" s="2">
        <v>288</v>
      </c>
      <c r="B289" s="2">
        <v>2</v>
      </c>
      <c r="C289" s="2">
        <v>4</v>
      </c>
      <c r="D289" s="2">
        <v>5</v>
      </c>
      <c r="E289" s="2">
        <v>12</v>
      </c>
      <c r="F289" s="2">
        <v>3</v>
      </c>
      <c r="G289" s="2">
        <v>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D331-5A07-4996-A396-41CD0E21DB3C}">
  <dimension ref="A1:E17"/>
  <sheetViews>
    <sheetView workbookViewId="0">
      <selection activeCell="D1" sqref="D1"/>
    </sheetView>
  </sheetViews>
  <sheetFormatPr defaultColWidth="11.42578125" defaultRowHeight="14.45"/>
  <cols>
    <col min="1" max="1" width="19" bestFit="1" customWidth="1"/>
    <col min="2" max="2" width="21.7109375" bestFit="1" customWidth="1"/>
    <col min="3" max="3" width="13.28515625" bestFit="1" customWidth="1"/>
    <col min="5" max="5" width="13.28515625" bestFit="1" customWidth="1"/>
  </cols>
  <sheetData>
    <row r="1" spans="1:5">
      <c r="A1" s="2" t="s">
        <v>43</v>
      </c>
      <c r="B1" s="2" t="s">
        <v>40</v>
      </c>
      <c r="C1" s="2" t="s">
        <v>44</v>
      </c>
      <c r="D1" s="2" t="s">
        <v>33</v>
      </c>
      <c r="E1" s="2" t="s">
        <v>41</v>
      </c>
    </row>
    <row r="2" spans="1:5">
      <c r="A2" s="2">
        <v>1</v>
      </c>
      <c r="B2" s="2">
        <v>1</v>
      </c>
      <c r="C2" s="2">
        <v>1</v>
      </c>
      <c r="D2" s="2">
        <v>8</v>
      </c>
      <c r="E2" s="2">
        <v>35</v>
      </c>
    </row>
    <row r="3" spans="1:5">
      <c r="A3" s="2">
        <v>2</v>
      </c>
      <c r="B3" s="2">
        <v>1</v>
      </c>
      <c r="C3" s="2">
        <v>1</v>
      </c>
      <c r="D3" s="2">
        <v>9</v>
      </c>
      <c r="E3" s="2">
        <v>35</v>
      </c>
    </row>
    <row r="4" spans="1:5">
      <c r="A4" s="2">
        <v>3</v>
      </c>
      <c r="B4" s="2">
        <v>1</v>
      </c>
      <c r="C4" s="2">
        <v>1</v>
      </c>
      <c r="D4" s="2">
        <v>10</v>
      </c>
      <c r="E4" s="2">
        <v>35</v>
      </c>
    </row>
    <row r="5" spans="1:5">
      <c r="A5" s="2">
        <v>4</v>
      </c>
      <c r="B5" s="2">
        <v>1</v>
      </c>
      <c r="C5" s="2">
        <v>1</v>
      </c>
      <c r="D5" s="2">
        <v>11</v>
      </c>
      <c r="E5" s="2">
        <v>38</v>
      </c>
    </row>
    <row r="6" spans="1:5">
      <c r="A6" s="2">
        <v>5</v>
      </c>
      <c r="B6" s="2">
        <v>1</v>
      </c>
      <c r="C6" s="2">
        <v>2</v>
      </c>
      <c r="D6" s="2">
        <v>8</v>
      </c>
      <c r="E6" s="2">
        <v>25</v>
      </c>
    </row>
    <row r="7" spans="1:5">
      <c r="A7" s="2">
        <v>6</v>
      </c>
      <c r="B7" s="2">
        <v>1</v>
      </c>
      <c r="C7" s="2">
        <v>2</v>
      </c>
      <c r="D7" s="2">
        <v>9</v>
      </c>
      <c r="E7" s="2">
        <v>25</v>
      </c>
    </row>
    <row r="8" spans="1:5">
      <c r="A8" s="2">
        <v>7</v>
      </c>
      <c r="B8" s="2">
        <v>1</v>
      </c>
      <c r="C8" s="2">
        <v>2</v>
      </c>
      <c r="D8" s="2">
        <v>10</v>
      </c>
      <c r="E8" s="2">
        <v>25</v>
      </c>
    </row>
    <row r="9" spans="1:5">
      <c r="A9" s="2">
        <v>8</v>
      </c>
      <c r="B9" s="2">
        <v>1</v>
      </c>
      <c r="C9" s="2">
        <v>2</v>
      </c>
      <c r="D9" s="2">
        <v>11</v>
      </c>
      <c r="E9" s="2">
        <v>28</v>
      </c>
    </row>
    <row r="10" spans="1:5">
      <c r="A10" s="2">
        <v>9</v>
      </c>
      <c r="B10" s="2">
        <v>2</v>
      </c>
      <c r="C10" s="2">
        <v>1</v>
      </c>
      <c r="D10" s="2">
        <v>8</v>
      </c>
      <c r="E10" s="2">
        <v>30</v>
      </c>
    </row>
    <row r="11" spans="1:5">
      <c r="A11" s="2">
        <v>10</v>
      </c>
      <c r="B11" s="2">
        <v>2</v>
      </c>
      <c r="C11" s="2">
        <v>1</v>
      </c>
      <c r="D11" s="2">
        <v>9</v>
      </c>
      <c r="E11" s="2">
        <v>30</v>
      </c>
    </row>
    <row r="12" spans="1:5">
      <c r="A12" s="2">
        <v>11</v>
      </c>
      <c r="B12" s="2">
        <v>2</v>
      </c>
      <c r="C12" s="2">
        <v>1</v>
      </c>
      <c r="D12" s="2">
        <v>10</v>
      </c>
      <c r="E12" s="2">
        <v>30</v>
      </c>
    </row>
    <row r="13" spans="1:5">
      <c r="A13" s="2">
        <v>12</v>
      </c>
      <c r="B13" s="2">
        <v>2</v>
      </c>
      <c r="C13" s="2">
        <v>1</v>
      </c>
      <c r="D13" s="2">
        <v>11</v>
      </c>
      <c r="E13" s="2">
        <v>33</v>
      </c>
    </row>
    <row r="14" spans="1:5">
      <c r="A14" s="2">
        <v>13</v>
      </c>
      <c r="B14" s="2">
        <v>2</v>
      </c>
      <c r="C14" s="2">
        <v>2</v>
      </c>
      <c r="D14" s="2">
        <v>8</v>
      </c>
      <c r="E14" s="2">
        <v>20</v>
      </c>
    </row>
    <row r="15" spans="1:5">
      <c r="A15" s="2">
        <v>14</v>
      </c>
      <c r="B15" s="2">
        <v>2</v>
      </c>
      <c r="C15" s="2">
        <v>2</v>
      </c>
      <c r="D15" s="2">
        <v>9</v>
      </c>
      <c r="E15" s="2">
        <v>20</v>
      </c>
    </row>
    <row r="16" spans="1:5">
      <c r="A16" s="2">
        <v>15</v>
      </c>
      <c r="B16" s="2">
        <v>2</v>
      </c>
      <c r="C16" s="2">
        <v>2</v>
      </c>
      <c r="D16" s="2">
        <v>10</v>
      </c>
      <c r="E16" s="2">
        <v>20</v>
      </c>
    </row>
    <row r="17" spans="1:5">
      <c r="A17" s="2">
        <v>16</v>
      </c>
      <c r="B17" s="2">
        <v>2</v>
      </c>
      <c r="C17" s="2">
        <v>2</v>
      </c>
      <c r="D17" s="2">
        <v>11</v>
      </c>
      <c r="E17" s="2">
        <v>23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5A36-C67E-4FAC-96BD-CD09417059B2}">
  <dimension ref="A1:E19"/>
  <sheetViews>
    <sheetView workbookViewId="0">
      <selection activeCell="A2" sqref="A2"/>
    </sheetView>
  </sheetViews>
  <sheetFormatPr defaultColWidth="11.42578125" defaultRowHeight="14.45"/>
  <cols>
    <col min="1" max="1" width="16" customWidth="1"/>
    <col min="2" max="2" width="19.140625" customWidth="1"/>
  </cols>
  <sheetData>
    <row r="1" spans="1:5">
      <c r="A1" t="s">
        <v>45</v>
      </c>
      <c r="B1" t="s">
        <v>40</v>
      </c>
      <c r="C1" t="s">
        <v>33</v>
      </c>
      <c r="D1" t="s">
        <v>25</v>
      </c>
      <c r="E1" t="s">
        <v>41</v>
      </c>
    </row>
    <row r="2" spans="1:5" ht="15">
      <c r="A2" s="2">
        <v>1</v>
      </c>
      <c r="B2" s="2">
        <v>1</v>
      </c>
      <c r="C2" s="2">
        <v>13</v>
      </c>
      <c r="D2" s="2">
        <v>1</v>
      </c>
      <c r="E2" s="2">
        <v>30</v>
      </c>
    </row>
    <row r="3" spans="1:5" ht="15">
      <c r="A3" s="2">
        <v>2</v>
      </c>
      <c r="B3" s="2">
        <v>1</v>
      </c>
      <c r="C3" s="2">
        <v>13</v>
      </c>
      <c r="D3" s="2">
        <v>2</v>
      </c>
      <c r="E3" s="2">
        <v>25</v>
      </c>
    </row>
    <row r="4" spans="1:5" ht="15">
      <c r="A4" s="2">
        <v>3</v>
      </c>
      <c r="B4" s="2">
        <v>1</v>
      </c>
      <c r="C4" s="2">
        <v>13</v>
      </c>
      <c r="D4" s="2">
        <v>3</v>
      </c>
      <c r="E4" s="2">
        <v>23</v>
      </c>
    </row>
    <row r="5" spans="1:5" ht="15">
      <c r="A5" s="2">
        <v>4</v>
      </c>
      <c r="B5" s="2">
        <v>1</v>
      </c>
      <c r="C5" s="2">
        <v>14</v>
      </c>
      <c r="D5" s="2">
        <v>1</v>
      </c>
      <c r="E5" s="2">
        <v>30</v>
      </c>
    </row>
    <row r="6" spans="1:5" ht="15">
      <c r="A6" s="2">
        <v>5</v>
      </c>
      <c r="B6" s="2">
        <v>1</v>
      </c>
      <c r="C6" s="2">
        <v>14</v>
      </c>
      <c r="D6" s="2">
        <v>2</v>
      </c>
      <c r="E6" s="2">
        <v>25</v>
      </c>
    </row>
    <row r="7" spans="1:5" ht="15">
      <c r="A7" s="2">
        <v>6</v>
      </c>
      <c r="B7" s="2">
        <v>1</v>
      </c>
      <c r="C7" s="2">
        <v>14</v>
      </c>
      <c r="D7" s="2">
        <v>3</v>
      </c>
      <c r="E7" s="2">
        <v>23</v>
      </c>
    </row>
    <row r="8" spans="1:5" ht="15">
      <c r="A8" s="2">
        <v>7</v>
      </c>
      <c r="B8" s="2">
        <v>1</v>
      </c>
      <c r="C8" s="2">
        <v>15</v>
      </c>
      <c r="D8" s="2">
        <v>1</v>
      </c>
      <c r="E8" s="2">
        <v>30</v>
      </c>
    </row>
    <row r="9" spans="1:5" ht="15">
      <c r="A9" s="2">
        <v>8</v>
      </c>
      <c r="B9" s="2">
        <v>1</v>
      </c>
      <c r="C9" s="2">
        <v>15</v>
      </c>
      <c r="D9" s="2">
        <v>2</v>
      </c>
      <c r="E9" s="2">
        <v>25</v>
      </c>
    </row>
    <row r="10" spans="1:5" ht="15">
      <c r="A10" s="2">
        <v>9</v>
      </c>
      <c r="B10" s="2">
        <v>1</v>
      </c>
      <c r="C10" s="2">
        <v>15</v>
      </c>
      <c r="D10" s="2">
        <v>3</v>
      </c>
      <c r="E10" s="2">
        <v>23</v>
      </c>
    </row>
    <row r="11" spans="1:5" ht="15">
      <c r="A11" s="2">
        <v>10</v>
      </c>
      <c r="B11" s="2">
        <v>2</v>
      </c>
      <c r="C11" s="2">
        <v>13</v>
      </c>
      <c r="D11" s="2">
        <v>1</v>
      </c>
      <c r="E11" s="2">
        <v>23</v>
      </c>
    </row>
    <row r="12" spans="1:5" ht="15">
      <c r="A12" s="2">
        <v>11</v>
      </c>
      <c r="B12" s="2">
        <v>2</v>
      </c>
      <c r="C12" s="2">
        <v>13</v>
      </c>
      <c r="D12" s="2">
        <v>2</v>
      </c>
      <c r="E12" s="2">
        <v>20</v>
      </c>
    </row>
    <row r="13" spans="1:5" ht="15">
      <c r="A13" s="2">
        <v>12</v>
      </c>
      <c r="B13" s="2">
        <v>2</v>
      </c>
      <c r="C13" s="2">
        <v>13</v>
      </c>
      <c r="D13" s="2">
        <v>3</v>
      </c>
      <c r="E13" s="2">
        <v>18</v>
      </c>
    </row>
    <row r="14" spans="1:5" ht="15">
      <c r="A14" s="2">
        <v>13</v>
      </c>
      <c r="B14" s="2">
        <v>2</v>
      </c>
      <c r="C14" s="2">
        <v>14</v>
      </c>
      <c r="D14" s="2">
        <v>1</v>
      </c>
      <c r="E14" s="2">
        <v>23</v>
      </c>
    </row>
    <row r="15" spans="1:5" ht="15">
      <c r="A15" s="2">
        <v>14</v>
      </c>
      <c r="B15" s="2">
        <v>2</v>
      </c>
      <c r="C15" s="2">
        <v>14</v>
      </c>
      <c r="D15" s="2">
        <v>2</v>
      </c>
      <c r="E15" s="2">
        <v>20</v>
      </c>
    </row>
    <row r="16" spans="1:5" ht="15">
      <c r="A16" s="2">
        <v>15</v>
      </c>
      <c r="B16" s="2">
        <v>2</v>
      </c>
      <c r="C16" s="2">
        <v>14</v>
      </c>
      <c r="D16" s="2">
        <v>3</v>
      </c>
      <c r="E16" s="2">
        <v>18</v>
      </c>
    </row>
    <row r="17" spans="1:5" ht="15">
      <c r="A17" s="2">
        <v>16</v>
      </c>
      <c r="B17" s="2">
        <v>2</v>
      </c>
      <c r="C17" s="2">
        <v>15</v>
      </c>
      <c r="D17" s="2">
        <v>1</v>
      </c>
      <c r="E17" s="2">
        <v>23</v>
      </c>
    </row>
    <row r="18" spans="1:5" ht="15">
      <c r="A18" s="2">
        <v>17</v>
      </c>
      <c r="B18" s="2">
        <v>2</v>
      </c>
      <c r="C18" s="2">
        <v>15</v>
      </c>
      <c r="D18" s="2">
        <v>2</v>
      </c>
      <c r="E18" s="2">
        <v>20</v>
      </c>
    </row>
    <row r="19" spans="1:5" ht="15">
      <c r="A19" s="2">
        <v>18</v>
      </c>
      <c r="B19" s="2">
        <v>2</v>
      </c>
      <c r="C19" s="2">
        <v>15</v>
      </c>
      <c r="D19" s="2">
        <v>3</v>
      </c>
      <c r="E19" s="2">
        <v>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7BE9-637D-49F4-8903-06F2CF0B6167}">
  <dimension ref="A1:B5"/>
  <sheetViews>
    <sheetView workbookViewId="0">
      <selection activeCell="A7" sqref="A7"/>
    </sheetView>
  </sheetViews>
  <sheetFormatPr defaultColWidth="11.42578125" defaultRowHeight="14.45"/>
  <sheetData>
    <row r="1" spans="1:2">
      <c r="A1" s="2" t="s">
        <v>34</v>
      </c>
      <c r="B1" s="2" t="s">
        <v>46</v>
      </c>
    </row>
    <row r="2" spans="1:2">
      <c r="A2" s="2">
        <v>1</v>
      </c>
      <c r="B2" s="2" t="s">
        <v>1</v>
      </c>
    </row>
    <row r="3" spans="1:2">
      <c r="A3" s="2">
        <v>2</v>
      </c>
      <c r="B3" s="2" t="s">
        <v>47</v>
      </c>
    </row>
    <row r="4" spans="1:2">
      <c r="A4" s="2">
        <v>3</v>
      </c>
      <c r="B4" s="2" t="s">
        <v>48</v>
      </c>
    </row>
    <row r="5" spans="1:2">
      <c r="A5" s="2">
        <v>4</v>
      </c>
      <c r="B5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92F1-9CB6-4CD0-BDD3-D2731ED05040}">
  <dimension ref="A1:D9"/>
  <sheetViews>
    <sheetView workbookViewId="0">
      <selection activeCell="D10" sqref="D10"/>
    </sheetView>
  </sheetViews>
  <sheetFormatPr defaultColWidth="11.42578125" defaultRowHeight="14.45"/>
  <cols>
    <col min="1" max="1" width="19.140625" customWidth="1"/>
    <col min="2" max="2" width="23.28515625" bestFit="1" customWidth="1"/>
    <col min="3" max="3" width="14.7109375" customWidth="1"/>
  </cols>
  <sheetData>
    <row r="1" spans="1:4">
      <c r="A1" s="2" t="s">
        <v>40</v>
      </c>
      <c r="B1" s="2" t="s">
        <v>50</v>
      </c>
      <c r="C1" s="2" t="s">
        <v>51</v>
      </c>
      <c r="D1" s="2" t="s">
        <v>52</v>
      </c>
    </row>
    <row r="2" spans="1:4">
      <c r="A2" s="2">
        <v>1</v>
      </c>
      <c r="B2" s="2" t="s">
        <v>53</v>
      </c>
      <c r="C2" s="2" t="s">
        <v>54</v>
      </c>
      <c r="D2" s="2" t="s">
        <v>55</v>
      </c>
    </row>
    <row r="3" spans="1:4">
      <c r="A3" s="2">
        <v>2</v>
      </c>
      <c r="B3" s="2" t="s">
        <v>7</v>
      </c>
      <c r="C3" s="2" t="s">
        <v>56</v>
      </c>
      <c r="D3" s="2" t="s">
        <v>55</v>
      </c>
    </row>
    <row r="4" spans="1:4">
      <c r="A4" s="2">
        <v>3</v>
      </c>
      <c r="B4" s="2" t="s">
        <v>57</v>
      </c>
      <c r="C4" s="2" t="s">
        <v>56</v>
      </c>
      <c r="D4" s="2" t="s">
        <v>55</v>
      </c>
    </row>
    <row r="5" spans="1:4">
      <c r="A5" s="2">
        <v>4</v>
      </c>
      <c r="B5" s="2" t="s">
        <v>58</v>
      </c>
      <c r="C5" s="2" t="s">
        <v>56</v>
      </c>
      <c r="D5" s="2" t="s">
        <v>59</v>
      </c>
    </row>
    <row r="6" spans="1:4">
      <c r="A6" s="2">
        <v>5</v>
      </c>
      <c r="B6" s="2" t="s">
        <v>60</v>
      </c>
      <c r="C6" s="2" t="s">
        <v>56</v>
      </c>
      <c r="D6" s="2" t="s">
        <v>59</v>
      </c>
    </row>
    <row r="7" spans="1:4">
      <c r="A7" s="2">
        <v>6</v>
      </c>
      <c r="B7" s="2" t="s">
        <v>61</v>
      </c>
      <c r="C7" s="2" t="s">
        <v>56</v>
      </c>
      <c r="D7" s="2" t="s">
        <v>62</v>
      </c>
    </row>
    <row r="8" spans="1:4" ht="15">
      <c r="A8" s="2">
        <v>7</v>
      </c>
      <c r="B8" s="2" t="s">
        <v>63</v>
      </c>
      <c r="C8" s="2" t="s">
        <v>56</v>
      </c>
      <c r="D8" s="2" t="s">
        <v>62</v>
      </c>
    </row>
    <row r="9" spans="1:4" ht="15">
      <c r="A9" s="2">
        <v>8</v>
      </c>
      <c r="B9" s="2" t="s">
        <v>64</v>
      </c>
      <c r="C9" s="2" t="s">
        <v>56</v>
      </c>
      <c r="D9" s="2" t="s">
        <v>62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B2F6-D1E0-409E-94B1-4AC1DE103720}">
  <dimension ref="A1:B14"/>
  <sheetViews>
    <sheetView workbookViewId="0">
      <selection activeCell="B2" sqref="B2"/>
    </sheetView>
  </sheetViews>
  <sheetFormatPr defaultColWidth="11.42578125" defaultRowHeight="14.45"/>
  <sheetData>
    <row r="1" spans="1:2">
      <c r="A1" s="2" t="s">
        <v>37</v>
      </c>
      <c r="B1" s="2" t="s">
        <v>65</v>
      </c>
    </row>
    <row r="2" spans="1:2">
      <c r="A2" s="2">
        <v>1</v>
      </c>
      <c r="B2" s="2" t="s">
        <v>66</v>
      </c>
    </row>
    <row r="3" spans="1:2">
      <c r="A3" s="2">
        <v>2</v>
      </c>
      <c r="B3" s="2" t="s">
        <v>67</v>
      </c>
    </row>
    <row r="4" spans="1:2">
      <c r="A4" s="2">
        <v>3</v>
      </c>
      <c r="B4" s="2" t="s">
        <v>68</v>
      </c>
    </row>
    <row r="5" spans="1:2">
      <c r="A5" s="2">
        <v>4</v>
      </c>
      <c r="B5" s="2" t="s">
        <v>15</v>
      </c>
    </row>
    <row r="6" spans="1:2">
      <c r="A6" s="2">
        <v>5</v>
      </c>
      <c r="B6" s="2" t="s">
        <v>69</v>
      </c>
    </row>
    <row r="7" spans="1:2">
      <c r="A7" s="2">
        <v>6</v>
      </c>
      <c r="B7" s="2" t="s">
        <v>70</v>
      </c>
    </row>
    <row r="8" spans="1:2">
      <c r="A8" s="2">
        <v>7</v>
      </c>
      <c r="B8" s="2" t="s">
        <v>71</v>
      </c>
    </row>
    <row r="9" spans="1:2">
      <c r="A9" s="2">
        <v>8</v>
      </c>
      <c r="B9" s="2" t="s">
        <v>72</v>
      </c>
    </row>
    <row r="10" spans="1:2">
      <c r="A10" s="2">
        <v>9</v>
      </c>
      <c r="B10" s="2" t="s">
        <v>73</v>
      </c>
    </row>
    <row r="11" spans="1:2">
      <c r="A11" s="2">
        <v>10</v>
      </c>
      <c r="B11" s="2" t="s">
        <v>74</v>
      </c>
    </row>
    <row r="12" spans="1:2">
      <c r="A12" s="2">
        <v>11</v>
      </c>
      <c r="B12" s="2" t="s">
        <v>75</v>
      </c>
    </row>
    <row r="13" spans="1:2">
      <c r="A13" s="2">
        <v>12</v>
      </c>
      <c r="B13" s="2" t="s">
        <v>76</v>
      </c>
    </row>
    <row r="14" spans="1:2">
      <c r="A14" s="2">
        <v>13</v>
      </c>
      <c r="B14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04F4-EB33-4380-A0AA-0420A09E071D}">
  <dimension ref="A1:C21"/>
  <sheetViews>
    <sheetView workbookViewId="0">
      <selection activeCell="B14" sqref="B14"/>
    </sheetView>
  </sheetViews>
  <sheetFormatPr defaultColWidth="11.42578125" defaultRowHeight="14.45"/>
  <sheetData>
    <row r="1" spans="1:3">
      <c r="A1" s="3" t="s">
        <v>33</v>
      </c>
      <c r="B1" s="3" t="s">
        <v>78</v>
      </c>
      <c r="C1" s="3" t="s">
        <v>79</v>
      </c>
    </row>
    <row r="2" spans="1:3">
      <c r="A2" s="3">
        <v>1</v>
      </c>
      <c r="B2" s="3" t="s">
        <v>80</v>
      </c>
      <c r="C2" s="3" t="s">
        <v>81</v>
      </c>
    </row>
    <row r="3" spans="1:3">
      <c r="A3" s="3">
        <v>2</v>
      </c>
      <c r="B3" s="1" t="s">
        <v>82</v>
      </c>
      <c r="C3" s="3" t="s">
        <v>81</v>
      </c>
    </row>
    <row r="4" spans="1:3">
      <c r="A4" s="3">
        <v>3</v>
      </c>
      <c r="B4" s="1" t="s">
        <v>83</v>
      </c>
      <c r="C4" s="3" t="s">
        <v>81</v>
      </c>
    </row>
    <row r="5" spans="1:3">
      <c r="A5" s="3">
        <v>4</v>
      </c>
      <c r="B5" s="1" t="s">
        <v>84</v>
      </c>
      <c r="C5" s="3" t="s">
        <v>81</v>
      </c>
    </row>
    <row r="6" spans="1:3">
      <c r="A6" s="3">
        <v>5</v>
      </c>
      <c r="B6" s="1" t="s">
        <v>85</v>
      </c>
      <c r="C6" s="3" t="s">
        <v>81</v>
      </c>
    </row>
    <row r="7" spans="1:3">
      <c r="A7" s="3">
        <v>6</v>
      </c>
      <c r="B7" s="1" t="s">
        <v>86</v>
      </c>
      <c r="C7" s="3" t="s">
        <v>81</v>
      </c>
    </row>
    <row r="8" spans="1:3">
      <c r="A8" s="3">
        <v>7</v>
      </c>
      <c r="B8" s="1" t="s">
        <v>87</v>
      </c>
      <c r="C8" s="3" t="s">
        <v>88</v>
      </c>
    </row>
    <row r="9" spans="1:3">
      <c r="A9" s="3">
        <v>8</v>
      </c>
      <c r="B9" s="1" t="s">
        <v>89</v>
      </c>
      <c r="C9" s="3" t="s">
        <v>88</v>
      </c>
    </row>
    <row r="10" spans="1:3">
      <c r="A10" s="3">
        <v>9</v>
      </c>
      <c r="B10" s="1" t="s">
        <v>90</v>
      </c>
      <c r="C10" s="3" t="s">
        <v>88</v>
      </c>
    </row>
    <row r="11" spans="1:3">
      <c r="A11" s="3">
        <v>10</v>
      </c>
      <c r="B11" s="1" t="s">
        <v>91</v>
      </c>
      <c r="C11" s="3" t="s">
        <v>88</v>
      </c>
    </row>
    <row r="12" spans="1:3">
      <c r="A12" s="3">
        <v>11</v>
      </c>
      <c r="B12" s="1" t="s">
        <v>92</v>
      </c>
      <c r="C12" s="3" t="s">
        <v>88</v>
      </c>
    </row>
    <row r="13" spans="1:3">
      <c r="A13" s="3">
        <v>12</v>
      </c>
      <c r="B13" s="1" t="s">
        <v>93</v>
      </c>
      <c r="C13" s="3" t="s">
        <v>88</v>
      </c>
    </row>
    <row r="14" spans="1:3">
      <c r="A14" s="3">
        <v>13</v>
      </c>
      <c r="B14" s="1" t="s">
        <v>94</v>
      </c>
      <c r="C14" s="3" t="s">
        <v>95</v>
      </c>
    </row>
    <row r="15" spans="1:3">
      <c r="A15" s="3">
        <v>14</v>
      </c>
      <c r="B15" s="1" t="s">
        <v>20</v>
      </c>
      <c r="C15" s="3" t="s">
        <v>95</v>
      </c>
    </row>
    <row r="16" spans="1:3">
      <c r="A16" s="3">
        <v>15</v>
      </c>
      <c r="B16" s="4" t="s">
        <v>96</v>
      </c>
      <c r="C16" s="3" t="s">
        <v>95</v>
      </c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</row>
    <row r="20" spans="1:3">
      <c r="A20" s="3"/>
    </row>
    <row r="21" spans="1:3">
      <c r="A21" s="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5FFA-BE34-42ED-962B-38B9BE219F62}">
  <dimension ref="A1:B6"/>
  <sheetViews>
    <sheetView workbookViewId="0">
      <selection activeCell="B3" sqref="B3"/>
    </sheetView>
  </sheetViews>
  <sheetFormatPr defaultColWidth="11.42578125" defaultRowHeight="14.45"/>
  <cols>
    <col min="2" max="2" width="18.28515625" customWidth="1"/>
  </cols>
  <sheetData>
    <row r="1" spans="1:2">
      <c r="A1" s="3" t="s">
        <v>36</v>
      </c>
      <c r="B1" s="3" t="s">
        <v>97</v>
      </c>
    </row>
    <row r="2" spans="1:2">
      <c r="A2" s="3">
        <v>1</v>
      </c>
      <c r="B2" s="3" t="s">
        <v>11</v>
      </c>
    </row>
    <row r="3" spans="1:2">
      <c r="A3" s="3">
        <v>2</v>
      </c>
      <c r="B3" s="3" t="s">
        <v>98</v>
      </c>
    </row>
    <row r="4" spans="1:2">
      <c r="A4" s="3">
        <v>3</v>
      </c>
      <c r="B4" s="3" t="s">
        <v>99</v>
      </c>
    </row>
    <row r="5" spans="1:2">
      <c r="A5" s="3">
        <v>4</v>
      </c>
      <c r="B5" s="3" t="s">
        <v>100</v>
      </c>
    </row>
    <row r="6" spans="1:2">
      <c r="A6" s="3"/>
      <c r="B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834-97AB-4627-BA91-33750CFF8092}">
  <dimension ref="A1:C6"/>
  <sheetViews>
    <sheetView workbookViewId="0">
      <selection activeCell="C3" sqref="C3"/>
    </sheetView>
  </sheetViews>
  <sheetFormatPr defaultColWidth="11.42578125" defaultRowHeight="14.45"/>
  <cols>
    <col min="2" max="2" width="17" customWidth="1"/>
  </cols>
  <sheetData>
    <row r="1" spans="1:3">
      <c r="A1" s="3" t="s">
        <v>38</v>
      </c>
      <c r="B1" s="3" t="s">
        <v>101</v>
      </c>
      <c r="C1" s="3" t="s">
        <v>34</v>
      </c>
    </row>
    <row r="2" spans="1:3">
      <c r="A2" s="3">
        <v>1</v>
      </c>
      <c r="B2" s="3" t="s">
        <v>81</v>
      </c>
      <c r="C2" s="3">
        <v>1</v>
      </c>
    </row>
    <row r="3" spans="1:3">
      <c r="A3" s="3">
        <v>2</v>
      </c>
      <c r="B3" s="3" t="s">
        <v>102</v>
      </c>
      <c r="C3" s="3">
        <v>1</v>
      </c>
    </row>
    <row r="4" spans="1:3">
      <c r="A4" s="3">
        <v>3</v>
      </c>
      <c r="B4" s="3" t="s">
        <v>103</v>
      </c>
      <c r="C4" s="3">
        <v>1</v>
      </c>
    </row>
    <row r="5" spans="1:3">
      <c r="A5" s="3">
        <v>4</v>
      </c>
      <c r="B5" s="3" t="s">
        <v>104</v>
      </c>
      <c r="C5" s="3">
        <v>2</v>
      </c>
    </row>
    <row r="6" spans="1:3">
      <c r="A6" s="3">
        <v>5</v>
      </c>
      <c r="B6" s="3" t="s">
        <v>105</v>
      </c>
      <c r="C6" s="3">
        <v>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E0EA-88F2-49AA-88B4-4A2F97794DDD}">
  <dimension ref="A1:C3"/>
  <sheetViews>
    <sheetView workbookViewId="0">
      <selection activeCell="A4" sqref="A4"/>
    </sheetView>
  </sheetViews>
  <sheetFormatPr defaultColWidth="11.42578125" defaultRowHeight="14.45"/>
  <cols>
    <col min="2" max="2" width="15.7109375" customWidth="1"/>
  </cols>
  <sheetData>
    <row r="1" spans="1:3">
      <c r="A1" s="2" t="s">
        <v>44</v>
      </c>
      <c r="B1" s="2" t="s">
        <v>106</v>
      </c>
      <c r="C1" s="2" t="s">
        <v>34</v>
      </c>
    </row>
    <row r="2" spans="1:3">
      <c r="A2" s="2">
        <v>1</v>
      </c>
      <c r="B2" s="2" t="s">
        <v>107</v>
      </c>
      <c r="C2" s="2">
        <v>4</v>
      </c>
    </row>
    <row r="3" spans="1:3">
      <c r="A3" s="2">
        <v>2</v>
      </c>
      <c r="B3" s="2" t="s">
        <v>108</v>
      </c>
      <c r="C3" s="2">
        <v>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3EE4-9BE4-4C17-BCA2-A4D5EE8FFA2D}">
  <sheetPr>
    <tabColor rgb="FF92D050"/>
  </sheetPr>
  <dimension ref="B2:J255"/>
  <sheetViews>
    <sheetView topLeftCell="B1" workbookViewId="0">
      <selection activeCell="J111" sqref="J111"/>
    </sheetView>
  </sheetViews>
  <sheetFormatPr defaultRowHeight="15"/>
  <cols>
    <col min="2" max="2" width="17.28515625" bestFit="1" customWidth="1"/>
    <col min="4" max="4" width="14.7109375" customWidth="1"/>
    <col min="5" max="5" width="11.28515625" customWidth="1"/>
    <col min="6" max="6" width="12.28515625" bestFit="1" customWidth="1"/>
    <col min="8" max="8" width="16.5703125" bestFit="1" customWidth="1"/>
    <col min="10" max="10" width="12.85546875" customWidth="1"/>
  </cols>
  <sheetData>
    <row r="2" spans="2:10">
      <c r="B2" t="s">
        <v>109</v>
      </c>
      <c r="D2" t="s">
        <v>110</v>
      </c>
      <c r="F2" t="s">
        <v>111</v>
      </c>
      <c r="H2" t="s">
        <v>112</v>
      </c>
      <c r="J2" t="s">
        <v>113</v>
      </c>
    </row>
    <row r="4" spans="2:10" s="21" customFormat="1">
      <c r="B4" s="5" t="str" cm="1">
        <f t="array" ref="B4:B5">_xlfn._xlws.FILTER(
 tb_tela[nombre_tela],
 ISNUMBER(
   MATCH(
     tb_tela[id_tela],
     _xlfn._xlws.FILTER(
       tb_tela_prenda[id_tela],
       tb_tela_prenda[id_prenda]=Cotiz!L7
     ),
     0
   )
 ), "No necesario"
)</f>
        <v>Alta calidad</v>
      </c>
      <c r="D4" s="21" t="str" cm="1">
        <f t="array" ref="D4:D9">_xlfn._xlws.FILTER(
 tb_color[color],
 ISNUMBER(
   MATCH(
     tb_color[id_color],
     _xlfn._xlws.FILTER(
       tb_tela_color[id_color],
       tb_tela_color[id_tela]=Cotiz!N7
     ),
     0
   )
 ),"No necesario"
)</f>
        <v>Amarillo</v>
      </c>
      <c r="E4" s="6"/>
      <c r="F4" s="21" t="str" cm="1">
        <f t="array" ref="F4">_xlfn._xlws.FILTER(
       tb_marca[nombre_marca],
       tb_marca[id_prenda]=Cotiz!L7, "No necesario"
     )</f>
        <v>No necesario</v>
      </c>
      <c r="H4" s="21" t="str" cm="1">
        <f t="array" ref="H4:H6">_xlfn._xlws.FILTER(tb_estilo[nombre_estilo], tb_estilo[id_prenda]=Cotiz!L7, "No necesario")</f>
        <v>Niño</v>
      </c>
      <c r="J4" s="5" t="str" cm="1">
        <f t="array" ref="J4:J9">IF(
  OR(Cotiz!L7=3,Cotiz!L7=4),
  _xlfn._xlws.FILTER(
    tb_talla[talla],
    ISNUMBER(
      MATCH(
        tb_talla[id_talla],
        _xlfn._xlws.FILTER(
          tb_talla_prenda[id_talla],
          tb_talla_prenda[id_prenda]=Cotiz!L7
        ),
        0
      )
    ),
    "No hay tallas"
  ),
  _xlfn._xlws.FILTER(
    tb_talla[talla],
    ISNUMBER(
      MATCH(
        tb_talla[id_talla],
        _xlfn._xlws.FILTER(
          tb_estilo_talla[id_talla],
          (tb_estilo_talla[id_prenda]=Cotiz!L7)*
          (tb_estilo_talla[id_estilo]=Cotiz!O7)
        ),
        0
      )
    ),
    "No hay tallas"
  )
)</f>
        <v>T14</v>
      </c>
    </row>
    <row r="5" spans="2:10">
      <c r="B5" t="str">
        <v>Calidad intermedia</v>
      </c>
      <c r="D5" t="str">
        <v>Blanco</v>
      </c>
      <c r="H5" t="str">
        <v>Recto</v>
      </c>
      <c r="J5" t="str">
        <v>S</v>
      </c>
    </row>
    <row r="6" spans="2:10">
      <c r="D6" t="str">
        <v>Negro</v>
      </c>
      <c r="H6" t="str">
        <v>Princesa</v>
      </c>
      <c r="J6" t="str">
        <v>M</v>
      </c>
    </row>
    <row r="7" spans="2:10">
      <c r="B7" s="5" t="str" cm="1">
        <f t="array" ref="B7:B8">_xlfn._xlws.FILTER(
 tb_tela[nombre_tela],
 ISNUMBER(
   MATCH(
     tb_tela[id_tela],
     _xlfn._xlws.FILTER(
       tb_tela_prenda[id_tela],
       tb_tela_prenda[id_prenda]=Cotiz!L8
     ),
     0
   )
 ), "No necesario"
)</f>
        <v>Alta calidad</v>
      </c>
      <c r="D7" t="str">
        <v>Rojo</v>
      </c>
      <c r="F7" s="21" t="str" cm="1">
        <f t="array" ref="F7">_xlfn._xlws.FILTER(
       tb_marca[nombre_marca],
       tb_marca[id_prenda]=Cotiz!L8, "No necesario"
     )</f>
        <v>No necesario</v>
      </c>
      <c r="J7" t="str">
        <v>L</v>
      </c>
    </row>
    <row r="8" spans="2:10">
      <c r="B8" t="str">
        <v>Calidad intermedia</v>
      </c>
      <c r="D8" t="str">
        <v>Rosado</v>
      </c>
      <c r="H8" s="21" t="str" cm="1">
        <f t="array" ref="H8:H10">_xlfn._xlws.FILTER(tb_estilo[nombre_estilo], tb_estilo[id_prenda]=Cotiz!L8, "No necesario")</f>
        <v>Niño</v>
      </c>
      <c r="J8" t="str">
        <v>XL</v>
      </c>
    </row>
    <row r="9" spans="2:10">
      <c r="D9" t="str">
        <v>Verde</v>
      </c>
      <c r="H9" t="str">
        <v>Recto</v>
      </c>
      <c r="J9" t="str">
        <v>XXL</v>
      </c>
    </row>
    <row r="10" spans="2:10">
      <c r="B10" s="5" t="str" cm="1">
        <f t="array" ref="B10:B11">_xlfn._xlws.FILTER(
 tb_tela[nombre_tela],
 ISNUMBER(
   MATCH(
     tb_tela[id_tela],
     _xlfn._xlws.FILTER(
       tb_tela_prenda[id_tela],
       tb_tela_prenda[id_prenda]=Cotiz!L9
     ),
     0
   )
 ), "No necesario"
)</f>
        <v>Alta calidad</v>
      </c>
      <c r="F10" s="21" t="str" cm="1">
        <f t="array" ref="F10">_xlfn._xlws.FILTER(
       tb_marca[nombre_marca],
       tb_marca[id_prenda]=Cotiz!L9, "No necesario"
     )</f>
        <v>No necesario</v>
      </c>
      <c r="H10" t="str">
        <v>Princesa</v>
      </c>
    </row>
    <row r="11" spans="2:10">
      <c r="B11" t="str">
        <v>Calidad intermedia</v>
      </c>
    </row>
    <row r="12" spans="2:10">
      <c r="H12" s="21" t="str" cm="1">
        <f t="array" ref="H12:H14">_xlfn._xlws.FILTER(tb_estilo[nombre_estilo], tb_estilo[id_prenda]=Cotiz!L9, "No necesario")</f>
        <v>Niño</v>
      </c>
    </row>
    <row r="13" spans="2:10">
      <c r="B13" s="5" t="str" cm="1">
        <f t="array" ref="B13">_xlfn._xlws.FILTER(
 tb_tela[nombre_tela],
 ISNUMBER(
   MATCH(
     tb_tela[id_tela],
     _xlfn._xlws.FILTER(
       tb_tela_prenda[id_tela],
       tb_tela_prenda[id_prenda]=Cotiz!L10
     ),
     0
   )
 ), "No necesario"
)</f>
        <v>No necesario</v>
      </c>
      <c r="F13" s="21" t="str" cm="1">
        <f t="array" ref="F13">_xlfn._xlws.FILTER(
       tb_marca[nombre_marca],
       tb_marca[id_prenda]=Cotiz!L10, "No necesario"
     )</f>
        <v>No necesario</v>
      </c>
      <c r="H13" t="str">
        <v>Recto</v>
      </c>
    </row>
    <row r="14" spans="2:10">
      <c r="H14" t="str">
        <v>Princesa</v>
      </c>
    </row>
    <row r="16" spans="2:10">
      <c r="B16" s="5" t="str" cm="1">
        <f t="array" ref="B16">_xlfn._xlws.FILTER(
 tb_tela[nombre_tela],
 ISNUMBER(
   MATCH(
     tb_tela[id_tela],
     _xlfn._xlws.FILTER(
       tb_tela_prenda[id_tela],
       tb_tela_prenda[id_prenda]=Cotiz!L11
     ),
     0
   )
 ), "No necesario"
)</f>
        <v>No necesario</v>
      </c>
      <c r="F16" s="21" t="str" cm="1">
        <f t="array" ref="F16">_xlfn._xlws.FILTER(
       tb_marca[nombre_marca],
       tb_marca[id_prenda]=Cotiz!L11, "No necesario"
     )</f>
        <v>No necesario</v>
      </c>
      <c r="H16" s="21" t="str" cm="1">
        <f t="array" ref="H16">_xlfn._xlws.FILTER(tb_estilo[nombre_estilo], tb_estilo[id_prenda]=Cotiz!L10, "No necesario")</f>
        <v>No necesario</v>
      </c>
    </row>
    <row r="17" spans="2:10">
      <c r="D17" s="21" t="str" cm="1">
        <f t="array" ref="D17:D28">_xlfn._xlws.FILTER(
 tb_color[color],
 ISNUMBER(
   MATCH(
     tb_color[id_color],
     _xlfn._xlws.FILTER(
       tb_tela_color[id_color],
       tb_tela_color[id_tela]=Cotiz!N8
     ),
     0
   )
 ),"No necesario"
)</f>
        <v>Amarillo</v>
      </c>
      <c r="J17" s="5" t="str" cm="1">
        <f t="array" ref="J17:J22">IF(
  OR(Cotiz!L8=3,Cotiz!L8=4),
  _xlfn._xlws.FILTER(
    tb_talla[talla],
    ISNUMBER(
      MATCH(
        tb_talla[id_talla],
        _xlfn._xlws.FILTER(
          tb_talla_prenda[id_talla],
          tb_talla_prenda[id_prenda]=Cotiz!L8
        ),
        0
      )
    ),
    "No hay tallas"
  ),
  _xlfn._xlws.FILTER(
    tb_talla[talla],
    ISNUMBER(
      MATCH(
        tb_talla[id_talla],
        _xlfn._xlws.FILTER(
          tb_estilo_talla[id_talla],
          (tb_estilo_talla[id_prenda]=Cotiz!L8)*
          (tb_estilo_talla[id_estilo]=Cotiz!O8)
        ),
        0
      )
    ),
    "No hay tallas"
  )
)</f>
        <v>T14</v>
      </c>
    </row>
    <row r="18" spans="2:10">
      <c r="D18" t="str">
        <v>Anaranjado</v>
      </c>
      <c r="J18" t="str">
        <v>S</v>
      </c>
    </row>
    <row r="19" spans="2:10">
      <c r="B19" t="str" cm="1">
        <f t="array" ref="B19">_xlfn._xlws.FILTER(
 tb_tela[nombre_tela],
 ISNUMBER(
   MATCH(
     tb_tela[id_tela],
     _xlfn._xlws.FILTER(
       tb_tela_prenda[id_tela],
       tb_tela_prenda[id_prenda]=Cotiz!L12
     ),
     0
   )
 ), "No necesario"
)</f>
        <v>No necesario</v>
      </c>
      <c r="D19" t="str">
        <v>Azul</v>
      </c>
      <c r="F19" s="21" t="str" cm="1">
        <f t="array" ref="F19">_xlfn._xlws.FILTER(
       tb_marca[nombre_marca],
       tb_marca[id_prenda]=Cotiz!L12, "No necesario"
     )</f>
        <v>No necesario</v>
      </c>
      <c r="J19" t="str">
        <v>M</v>
      </c>
    </row>
    <row r="20" spans="2:10">
      <c r="D20" t="str">
        <v>Blanco</v>
      </c>
      <c r="H20" s="21" t="str" cm="1">
        <f t="array" ref="H20">_xlfn._xlws.FILTER(tb_estilo[nombre_estilo], tb_estilo[id_prenda]=Cotiz!L11, "No necesario")</f>
        <v>No necesario</v>
      </c>
      <c r="J20" t="str">
        <v>L</v>
      </c>
    </row>
    <row r="21" spans="2:10">
      <c r="D21" t="str">
        <v>Celeste Bebé</v>
      </c>
      <c r="J21" t="str">
        <v>XL</v>
      </c>
    </row>
    <row r="22" spans="2:10">
      <c r="B22" t="str" cm="1">
        <f t="array" ref="B22">_xlfn._xlws.FILTER(
 tb_tela[nombre_tela],
 ISNUMBER(
   MATCH(
     tb_tela[id_tela],
     _xlfn._xlws.FILTER(
       tb_tela_prenda[id_tela],
       tb_tela_prenda[id_prenda]=Cotiz!L13
     ),
     0
   )
 ), "No necesario"
)</f>
        <v>No necesario</v>
      </c>
      <c r="D22" t="str">
        <v>Fucsia</v>
      </c>
      <c r="F22" s="21" t="str" cm="1">
        <f t="array" ref="F22">_xlfn._xlws.FILTER(
       tb_marca[nombre_marca],
       tb_marca[id_prenda]=Cotiz!L13, "No necesario"
     )</f>
        <v>No necesario</v>
      </c>
      <c r="J22" t="str">
        <v>XXL</v>
      </c>
    </row>
    <row r="23" spans="2:10">
      <c r="D23" t="str">
        <v>Lila</v>
      </c>
    </row>
    <row r="24" spans="2:10">
      <c r="D24" t="str">
        <v>Negro</v>
      </c>
      <c r="H24" t="str" cm="1">
        <f t="array" ref="H24">_xlfn._xlws.FILTER(tb_estilo[nombre_estilo], tb_estilo[id_prenda]=Cotiz!L12, "No necesario")</f>
        <v>No necesario</v>
      </c>
    </row>
    <row r="25" spans="2:10">
      <c r="B25" t="str" cm="1">
        <f t="array" ref="B25">_xlfn._xlws.FILTER(
 tb_tela[nombre_tela],
 ISNUMBER(
   MATCH(
     tb_tela[id_tela],
     _xlfn._xlws.FILTER(
       tb_tela_prenda[id_tela],
       tb_tela_prenda[id_prenda]=Cotiz!L14
     ),
     0
   )
 ), "No necesario"
)</f>
        <v>No necesario</v>
      </c>
      <c r="D25" t="str">
        <v>Rojo</v>
      </c>
      <c r="F25" s="21" t="str" cm="1">
        <f t="array" ref="F25">_xlfn._xlws.FILTER(
       tb_marca[nombre_marca],
       tb_marca[id_prenda]=Cotiz!L14, "No necesario"
     )</f>
        <v>No necesario</v>
      </c>
    </row>
    <row r="26" spans="2:10">
      <c r="D26" t="str">
        <v>Rosado</v>
      </c>
    </row>
    <row r="27" spans="2:10">
      <c r="D27" t="str">
        <v>Turqueza</v>
      </c>
    </row>
    <row r="28" spans="2:10">
      <c r="B28" t="str" cm="1">
        <f t="array" ref="B28">_xlfn._xlws.FILTER(
 tb_tela[nombre_tela],
 ISNUMBER(
   MATCH(
     tb_tela[id_tela],
     _xlfn._xlws.FILTER(
       tb_tela_prenda[id_tela],
       tb_tela_prenda[id_prenda]=Cotiz!L15
     ),
     0
   )
 ), "No necesario"
)</f>
        <v>No necesario</v>
      </c>
      <c r="D28" t="str">
        <v>Verde</v>
      </c>
      <c r="F28" s="21" t="str" cm="1">
        <f t="array" ref="F28">_xlfn._xlws.FILTER(
       tb_marca[nombre_marca],
       tb_marca[id_prenda]=Cotiz!L15, "No necesario"
     )</f>
        <v>No necesario</v>
      </c>
      <c r="H28" t="str" cm="1">
        <f t="array" ref="H28">_xlfn._xlws.FILTER(tb_estilo[nombre_estilo], tb_estilo[id_prenda]=Cotiz!L13, "No necesario")</f>
        <v>No necesario</v>
      </c>
    </row>
    <row r="30" spans="2:10">
      <c r="J30" s="5" t="str" cm="1">
        <f t="array" ref="J30:J35">IF(
  OR(Cotiz!L9=3,Cotiz!L9=4),
  _xlfn._xlws.FILTER(
    tb_talla[talla],
    ISNUMBER(
      MATCH(
        tb_talla[id_talla],
        _xlfn._xlws.FILTER(
          tb_talla_prenda[id_talla],
          tb_talla_prenda[id_prenda]=Cotiz!L9
        ),
        0
      )
    ),
    "No hay tallas"
  ),
  _xlfn._xlws.FILTER(
    tb_talla[talla],
    ISNUMBER(
      MATCH(
        tb_talla[id_talla],
        _xlfn._xlws.FILTER(
          tb_estilo_talla[id_talla],
          (tb_estilo_talla[id_prenda]=Cotiz!L9)*
          (tb_estilo_talla[id_estilo]=Cotiz!O9)
        ),
        0
      )
    ),
    "No hay tallas"
  )
)</f>
        <v>T14</v>
      </c>
    </row>
    <row r="31" spans="2:10">
      <c r="B31" t="str" cm="1">
        <f t="array" ref="B31">_xlfn._xlws.FILTER(
 tb_tela[nombre_tela],
 ISNUMBER(
   MATCH(
     tb_tela[id_tela],
     _xlfn._xlws.FILTER(
       tb_tela_prenda[id_tela],
       tb_tela_prenda[id_prenda]=Cotiz!L16
     ),
     0
   )
 ), "No necesario"
)</f>
        <v>No necesario</v>
      </c>
      <c r="D31" s="21" t="str" cm="1">
        <f t="array" ref="D31:D42">_xlfn._xlws.FILTER(
 tb_color[color],
 ISNUMBER(
   MATCH(
     tb_color[id_color],
     _xlfn._xlws.FILTER(
       tb_tela_color[id_color],
       tb_tela_color[id_tela]=Cotiz!N9
     ),
     0
   )
 ),"No necesario"
)</f>
        <v>Amarillo</v>
      </c>
      <c r="F31" s="21" t="str" cm="1">
        <f t="array" ref="F31">_xlfn._xlws.FILTER(
       tb_marca[nombre_marca],
       tb_marca[id_prenda]=Cotiz!L16, "No necesario"
     )</f>
        <v>No necesario</v>
      </c>
      <c r="J31" t="str">
        <v>S</v>
      </c>
    </row>
    <row r="32" spans="2:10">
      <c r="D32" t="str">
        <v>Anaranjado</v>
      </c>
      <c r="H32" t="str" cm="1">
        <f t="array" ref="H32">_xlfn._xlws.FILTER(tb_estilo[nombre_estilo], tb_estilo[id_prenda]=Cotiz!L14, "No necesario")</f>
        <v>No necesario</v>
      </c>
      <c r="J32" t="str">
        <v>M</v>
      </c>
    </row>
    <row r="33" spans="2:10">
      <c r="D33" t="str">
        <v>Azul</v>
      </c>
      <c r="J33" t="str">
        <v>L</v>
      </c>
    </row>
    <row r="34" spans="2:10">
      <c r="B34" t="str" cm="1">
        <f t="array" ref="B34">_xlfn._xlws.FILTER(
 tb_tela[nombre_tela],
 ISNUMBER(
   MATCH(
     tb_tela[id_tela],
     _xlfn._xlws.FILTER(
       tb_tela_prenda[id_tela],
       tb_tela_prenda[id_prenda]=Cotiz!L17
     ),
     0
   )
 ), "No necesario"
)</f>
        <v>No necesario</v>
      </c>
      <c r="D34" t="str">
        <v>Blanco</v>
      </c>
      <c r="F34" s="21" t="str" cm="1">
        <f t="array" ref="F34">_xlfn._xlws.FILTER(
       tb_marca[nombre_marca],
       tb_marca[id_prenda]=Cotiz!L17, "No necesario"
     )</f>
        <v>No necesario</v>
      </c>
      <c r="J34" t="str">
        <v>XL</v>
      </c>
    </row>
    <row r="35" spans="2:10">
      <c r="D35" t="str">
        <v>Celeste Bebé</v>
      </c>
      <c r="J35" t="str">
        <v>XXL</v>
      </c>
    </row>
    <row r="36" spans="2:10">
      <c r="D36" t="str">
        <v>Fucsia</v>
      </c>
      <c r="H36" t="str" cm="1">
        <f t="array" ref="H36">_xlfn._xlws.FILTER(tb_estilo[nombre_estilo], tb_estilo[id_prenda]=Cotiz!L15, "No necesario")</f>
        <v>No necesario</v>
      </c>
    </row>
    <row r="37" spans="2:10">
      <c r="B37" t="str" cm="1">
        <f t="array" ref="B37">_xlfn._xlws.FILTER(
 tb_tela[nombre_tela],
 ISNUMBER(
   MATCH(
     tb_tela[id_tela],
     _xlfn._xlws.FILTER(
       tb_tela_prenda[id_tela],
       tb_tela_prenda[id_prenda]=Cotiz!L18
     ),
     0
   )
 ), "No necesario"
)</f>
        <v>No necesario</v>
      </c>
      <c r="D37" t="str">
        <v>Lila</v>
      </c>
      <c r="F37" s="21" t="str" cm="1">
        <f t="array" ref="F37">_xlfn._xlws.FILTER(
       tb_marca[nombre_marca],
       tb_marca[id_prenda]=Cotiz!L18, "No necesario"
     )</f>
        <v>No necesario</v>
      </c>
    </row>
    <row r="38" spans="2:10">
      <c r="D38" t="str">
        <v>Negro</v>
      </c>
    </row>
    <row r="39" spans="2:10">
      <c r="D39" t="str">
        <v>Rojo</v>
      </c>
    </row>
    <row r="40" spans="2:10">
      <c r="B40" t="str" cm="1">
        <f t="array" ref="B40">_xlfn._xlws.FILTER(
 tb_tela[nombre_tela],
 ISNUMBER(
   MATCH(
     tb_tela[id_tela],
     _xlfn._xlws.FILTER(
       tb_tela_prenda[id_tela],
       tb_tela_prenda[id_prenda]=Cotiz!L19
     ),
     0
   )
 ), "No necesario"
)</f>
        <v>No necesario</v>
      </c>
      <c r="D40" t="str">
        <v>Rosado</v>
      </c>
      <c r="F40" s="21" t="str" cm="1">
        <f t="array" ref="F40">_xlfn._xlws.FILTER(
       tb_marca[nombre_marca],
       tb_marca[id_prenda]=Cotiz!L19, "No necesario"
     )</f>
        <v>No necesario</v>
      </c>
      <c r="H40" t="str" cm="1">
        <f t="array" ref="H40">_xlfn._xlws.FILTER(tb_estilo[nombre_estilo], tb_estilo[id_prenda]=Cotiz!L16, "No necesario")</f>
        <v>No necesario</v>
      </c>
    </row>
    <row r="41" spans="2:10">
      <c r="D41" t="str">
        <v>Turqueza</v>
      </c>
    </row>
    <row r="42" spans="2:10">
      <c r="D42" t="str">
        <v>Verde</v>
      </c>
    </row>
    <row r="43" spans="2:10">
      <c r="B43" t="str" cm="1">
        <f t="array" ref="B43">_xlfn._xlws.FILTER(
 tb_tela[nombre_tela],
 ISNUMBER(
   MATCH(
     tb_tela[id_tela],
     _xlfn._xlws.FILTER(
       tb_tela_prenda[id_tela],
       tb_tela_prenda[id_prenda]=Cotiz!L20
     ),
     0
   )
 ), "No necesario"
)</f>
        <v>No necesario</v>
      </c>
      <c r="F43" s="21" t="str" cm="1">
        <f t="array" ref="F43">_xlfn._xlws.FILTER(
       tb_marca[nombre_marca],
       tb_marca[id_prenda]=Cotiz!L20, "No necesario"
     )</f>
        <v>No necesario</v>
      </c>
      <c r="J43" s="5" t="str" cm="1">
        <f t="array" ref="J43">IF(
  OR(Cotiz!L10=3,Cotiz!L10=4),
  _xlfn._xlws.FILTER(
    tb_talla[talla],
    ISNUMBER(
      MATCH(
        tb_talla[id_talla],
        _xlfn._xlws.FILTER(
          tb_talla_prenda[id_talla],
          tb_talla_prenda[id_prenda]=Cotiz!L10
        ),
        0
      )
    ),
    "No hay tallas"
  ),
  _xlfn._xlws.FILTER(
    tb_talla[talla],
    ISNUMBER(
      MATCH(
        tb_talla[id_talla],
        _xlfn._xlws.FILTER(
          tb_estilo_talla[id_talla],
          (tb_estilo_talla[id_prenda]=Cotiz!L10)*
          (tb_estilo_talla[id_estilo]=Cotiz!O10)
        ),
        0
      )
    ),
    "No hay tallas"
  )
)</f>
        <v>No hay tallas</v>
      </c>
    </row>
    <row r="44" spans="2:10">
      <c r="H44" t="str" cm="1">
        <f t="array" ref="H44">_xlfn._xlws.FILTER(tb_estilo[nombre_estilo], tb_estilo[id_prenda]=Cotiz!L17, "No necesario")</f>
        <v>No necesario</v>
      </c>
    </row>
    <row r="45" spans="2:10">
      <c r="D45" s="21" t="str" cm="1">
        <f t="array" ref="D45">_xlfn._xlws.FILTER(
 tb_color[color],
 ISNUMBER(
   MATCH(
     tb_color[id_color],
     _xlfn._xlws.FILTER(
       tb_tela_color[id_color],
       tb_tela_color[id_tela]=Cotiz!N10
     ),
     0
   )
 ),"No necesario"
)</f>
        <v>No necesario</v>
      </c>
    </row>
    <row r="46" spans="2:10">
      <c r="B46" t="str" cm="1">
        <f t="array" ref="B46">_xlfn._xlws.FILTER(
 tb_tela[nombre_tela],
 ISNUMBER(
   MATCH(
     tb_tela[id_tela],
     _xlfn._xlws.FILTER(
       tb_tela_prenda[id_tela],
       tb_tela_prenda[id_prenda]=Cotiz!L21
     ),
     0
   )
 ), "No necesario"
)</f>
        <v>No necesario</v>
      </c>
      <c r="F46" s="21" t="str" cm="1">
        <f t="array" ref="F46">_xlfn._xlws.FILTER(
       tb_marca[nombre_marca],
       tb_marca[id_prenda]=Cotiz!L21, "No necesario"
     )</f>
        <v>No necesario</v>
      </c>
    </row>
    <row r="48" spans="2:10">
      <c r="H48" t="str" cm="1">
        <f t="array" ref="H48">_xlfn._xlws.FILTER(tb_estilo[nombre_estilo], tb_estilo[id_prenda]=Cotiz!L18, "No necesario")</f>
        <v>No necesario</v>
      </c>
    </row>
    <row r="49" spans="2:10">
      <c r="B49" t="str" cm="1">
        <f t="array" ref="B49">_xlfn._xlws.FILTER(
 tb_tela[nombre_tela],
 ISNUMBER(
   MATCH(
     tb_tela[id_tela],
     _xlfn._xlws.FILTER(
       tb_tela_prenda[id_tela],
       tb_tela_prenda[id_prenda]=Cotiz!L22
     ),
     0
   )
 ), "No necesario"
)</f>
        <v>No necesario</v>
      </c>
      <c r="F49" s="21" t="str" cm="1">
        <f t="array" ref="F49">_xlfn._xlws.FILTER(
       tb_marca[nombre_marca],
       tb_marca[id_prenda]=Cotiz!L22, "No necesario"
     )</f>
        <v>No necesario</v>
      </c>
    </row>
    <row r="52" spans="2:10">
      <c r="B52" t="str" cm="1">
        <f t="array" ref="B52">_xlfn._xlws.FILTER(
 tb_tela[nombre_tela],
 ISNUMBER(
   MATCH(
     tb_tela[id_tela],
     _xlfn._xlws.FILTER(
       tb_tela_prenda[id_tela],
       tb_tela_prenda[id_prenda]=Cotiz!L23
     ),
     0
   )
 ), "No necesario"
)</f>
        <v>No necesario</v>
      </c>
      <c r="F52" s="21" t="str" cm="1">
        <f t="array" ref="F52">_xlfn._xlws.FILTER(
       tb_marca[nombre_marca],
       tb_marca[id_prenda]=Cotiz!L23, "No necesario"
     )</f>
        <v>No necesario</v>
      </c>
      <c r="H52" t="str" cm="1">
        <f t="array" ref="H52">_xlfn._xlws.FILTER(tb_estilo[nombre_estilo], tb_estilo[id_prenda]=Cotiz!L19, "No necesario")</f>
        <v>No necesario</v>
      </c>
    </row>
    <row r="55" spans="2:10">
      <c r="B55" t="str" cm="1">
        <f t="array" ref="B55">_xlfn._xlws.FILTER(
 tb_tela[nombre_tela],
 ISNUMBER(
   MATCH(
     tb_tela[id_tela],
     _xlfn._xlws.FILTER(
       tb_tela_prenda[id_tela],
       tb_tela_prenda[id_prenda]=Cotiz!L24
     ),
     0
   )
 ), "No necesario"
)</f>
        <v>No necesario</v>
      </c>
      <c r="F55" s="21" t="str" cm="1">
        <f t="array" ref="F55">_xlfn._xlws.FILTER(
       tb_marca[nombre_marca],
       tb_marca[id_prenda]=Cotiz!L24, "No necesario"
     )</f>
        <v>No necesario</v>
      </c>
    </row>
    <row r="56" spans="2:10">
      <c r="H56" t="str" cm="1">
        <f t="array" ref="H56">_xlfn._xlws.FILTER(tb_estilo[nombre_estilo], tb_estilo[id_prenda]=Cotiz!L20, "No necesario")</f>
        <v>No necesario</v>
      </c>
      <c r="J56" s="5" t="str" cm="1">
        <f t="array" ref="J56">IF(
  OR(Cotiz!L11=3,Cotiz!L11=4),
  _xlfn._xlws.FILTER(
    tb_talla[talla],
    ISNUMBER(
      MATCH(
        tb_talla[id_talla],
        _xlfn._xlws.FILTER(
          tb_talla_prenda[id_talla],
          tb_talla_prenda[id_prenda]=Cotiz!L11
        ),
        0
      )
    ),
    "No hay tallas"
  ),
  _xlfn._xlws.FILTER(
    tb_talla[talla],
    ISNUMBER(
      MATCH(
        tb_talla[id_talla],
        _xlfn._xlws.FILTER(
          tb_estilo_talla[id_talla],
          (tb_estilo_talla[id_prenda]=Cotiz!L11)*
          (tb_estilo_talla[id_estilo]=Cotiz!O11)
        ),
        0
      )
    ),
    "No hay tallas"
  )
)</f>
        <v>No hay tallas</v>
      </c>
    </row>
    <row r="58" spans="2:10">
      <c r="B58" t="str" cm="1">
        <f t="array" ref="B58">_xlfn._xlws.FILTER(
 tb_tela[nombre_tela],
 ISNUMBER(
   MATCH(
     tb_tela[id_tela],
     _xlfn._xlws.FILTER(
       tb_tela_prenda[id_tela],
       tb_tela_prenda[id_prenda]=Cotiz!L25
     ),
     0
   )
 ), "No necesario"
)</f>
        <v>No necesario</v>
      </c>
      <c r="F58" s="21" t="str" cm="1">
        <f t="array" ref="F58">_xlfn._xlws.FILTER(
       tb_marca[nombre_marca],
       tb_marca[id_prenda]=Cotiz!L25, "No necesario"
     )</f>
        <v>No necesario</v>
      </c>
    </row>
    <row r="59" spans="2:10">
      <c r="D59" s="21" t="str" cm="1">
        <f t="array" ref="D59">_xlfn._xlws.FILTER(
 tb_color[color],
 ISNUMBER(
   MATCH(
     tb_color[id_color],
     _xlfn._xlws.FILTER(
       tb_tela_color[id_color],
       tb_tela_color[id_tela]=Cotiz!N11
     ),
     0
   )
 ),"No necesario"
)</f>
        <v>No necesario</v>
      </c>
    </row>
    <row r="60" spans="2:10">
      <c r="H60" t="str" cm="1">
        <f t="array" ref="H60">_xlfn._xlws.FILTER(tb_estilo[nombre_estilo], tb_estilo[id_prenda]=Cotiz!L21, "No necesario")</f>
        <v>No necesario</v>
      </c>
    </row>
    <row r="61" spans="2:10">
      <c r="B61" t="str" cm="1">
        <f t="array" ref="B61">_xlfn._xlws.FILTER(
 tb_tela[nombre_tela],
 ISNUMBER(
   MATCH(
     tb_tela[id_tela],
     _xlfn._xlws.FILTER(
       tb_tela_prenda[id_tela],
       tb_tela_prenda[id_prenda]=Cotiz!L26
     ),
     0
   )
 ), "No necesario"
)</f>
        <v>No necesario</v>
      </c>
      <c r="F61" s="21" t="str" cm="1">
        <f t="array" ref="F61">_xlfn._xlws.FILTER(
       tb_marca[nombre_marca],
       tb_marca[id_prenda]=Cotiz!L26, "No necesario"
     )</f>
        <v>No necesario</v>
      </c>
    </row>
    <row r="64" spans="2:10">
      <c r="H64" t="str" cm="1">
        <f t="array" ref="H64">_xlfn._xlws.FILTER(tb_estilo[nombre_estilo], tb_estilo[id_prenda]=Cotiz!L22, "No necesario")</f>
        <v>No necesario</v>
      </c>
    </row>
    <row r="68" spans="4:10">
      <c r="H68" t="str" cm="1">
        <f t="array" ref="H68">_xlfn._xlws.FILTER(tb_estilo[nombre_estilo], tb_estilo[id_prenda]=Cotiz!L23, "No necesario")</f>
        <v>No necesario</v>
      </c>
    </row>
    <row r="69" spans="4:10">
      <c r="J69" t="str" cm="1">
        <f t="array" ref="J69">IF(
  OR(Cotiz!L12=3,Cotiz!L12=4),
  _xlfn._xlws.FILTER(
    tb_talla[talla],
    ISNUMBER(
      MATCH(
        tb_talla[id_talla],
        _xlfn._xlws.FILTER(
          tb_talla_prenda[id_talla],
          tb_talla_prenda[id_prenda]=Cotiz!L12
        ),
        0
      )
    ),
    "No hay tallas"
  ),
  _xlfn._xlws.FILTER(
    tb_talla[talla],
    ISNUMBER(
      MATCH(
        tb_talla[id_talla],
        _xlfn._xlws.FILTER(
          tb_estilo_talla[id_talla],
          (tb_estilo_talla[id_prenda]=Cotiz!L12)*
          (tb_estilo_talla[id_estilo]=Cotiz!O12)
        ),
        0
      )
    ),
    "No hay tallas"
  )
)</f>
        <v>No hay tallas</v>
      </c>
    </row>
    <row r="72" spans="4:10">
      <c r="D72" t="str" cm="1">
        <f t="array" ref="D72">_xlfn._xlws.FILTER(
 tb_color[color],
 ISNUMBER(
   MATCH(
     tb_color[id_color],
     _xlfn._xlws.FILTER(
       tb_tela_color[id_color],
       tb_tela_color[id_tela]=Cotiz!N12
     ),
     0
   )
 ),"No necesario"
)</f>
        <v>No necesario</v>
      </c>
      <c r="H72" t="str" cm="1">
        <f t="array" ref="H72">_xlfn._xlws.FILTER(tb_estilo[nombre_estilo], tb_estilo[id_prenda]=Cotiz!L24, "No necesario")</f>
        <v>No necesario</v>
      </c>
    </row>
    <row r="76" spans="4:10">
      <c r="H76" t="str" cm="1">
        <f t="array" ref="H76">_xlfn._xlws.FILTER(tb_estilo[nombre_estilo], tb_estilo[id_prenda]=Cotiz!L25, "No necesario")</f>
        <v>No necesario</v>
      </c>
    </row>
    <row r="80" spans="4:10">
      <c r="H80" t="str" cm="1">
        <f t="array" ref="H80">_xlfn._xlws.FILTER(tb_estilo[nombre_estilo], tb_estilo[id_prenda]=Cotiz!L26, "No necesario")</f>
        <v>No necesario</v>
      </c>
    </row>
    <row r="85" spans="4:10">
      <c r="D85" t="str" cm="1">
        <f t="array" ref="D85">_xlfn._xlws.FILTER(
 tb_color[color],
 ISNUMBER(
   MATCH(
     tb_color[id_color],
     _xlfn._xlws.FILTER(
       tb_tela_color[id_color],
       tb_tela_color[id_tela]=Cotiz!N13
     ),
     0
   )
 ),"No necesario"
)</f>
        <v>No necesario</v>
      </c>
      <c r="J85" t="str" cm="1">
        <f t="array" ref="J85">IF(
  OR(Cotiz!L13=3,Cotiz!L13=4),
  _xlfn._xlws.FILTER(
    tb_talla[talla],
    ISNUMBER(
      MATCH(
        tb_talla[id_talla],
        _xlfn._xlws.FILTER(
          tb_talla_prenda[id_talla],
          tb_talla_prenda[id_prenda]=Cotiz!L13
        ),
        0
      )
    ),
    "No hay tallas"
  ),
  _xlfn._xlws.FILTER(
    tb_talla[talla],
    ISNUMBER(
      MATCH(
        tb_talla[id_talla],
        _xlfn._xlws.FILTER(
          tb_estilo_talla[id_talla],
          (tb_estilo_talla[id_prenda]=Cotiz!L13)*
          (tb_estilo_talla[id_estilo]=Cotiz!O13)
        ),
        0
      )
    ),
    "No hay tallas"
  )
)</f>
        <v>No hay tallas</v>
      </c>
    </row>
    <row r="98" spans="4:10">
      <c r="D98" t="str" cm="1">
        <f t="array" ref="D98">_xlfn._xlws.FILTER(
 tb_color[color],
 ISNUMBER(
   MATCH(
     tb_color[id_color],
     _xlfn._xlws.FILTER(
       tb_tela_color[id_color],
       tb_tela_color[id_tela]=Cotiz!N14
     ),
     0
   )
 ),"No necesario"
)</f>
        <v>No necesario</v>
      </c>
      <c r="J98" t="str" cm="1">
        <f t="array" ref="J98">IF(
  OR(Cotiz!L14=3,Cotiz!L14=4),
  _xlfn._xlws.FILTER(
    tb_talla[talla],
    ISNUMBER(
      MATCH(
        tb_talla[id_talla],
        _xlfn._xlws.FILTER(
          tb_talla_prenda[id_talla],
          tb_talla_prenda[id_prenda]=Cotiz!L14
        ),
        0
      )
    ),
    "No hay tallas"
  ),
  _xlfn._xlws.FILTER(
    tb_talla[talla],
    ISNUMBER(
      MATCH(
        tb_talla[id_talla],
        _xlfn._xlws.FILTER(
          tb_estilo_talla[id_talla],
          (tb_estilo_talla[id_prenda]=Cotiz!L14)*
          (tb_estilo_talla[id_estilo]=Cotiz!O14)
        ),
        0
      )
    ),
    "No hay tallas"
  )
)</f>
        <v>No hay tallas</v>
      </c>
    </row>
    <row r="111" spans="4:10">
      <c r="J111" t="str" cm="1">
        <f t="array" ref="J111">IF(
  OR(Cotiz!L15=3,Cotiz!L15=4),
  _xlfn._xlws.FILTER(
    tb_talla[talla],
    ISNUMBER(
      MATCH(
        tb_talla[id_talla],
        _xlfn._xlws.FILTER(
          tb_talla_prenda[id_talla],
          tb_talla_prenda[id_prenda]=Cotiz!L15
        ),
        0
      )
    ),
    "No hay tallas"
  ),
  _xlfn._xlws.FILTER(
    tb_talla[talla],
    ISNUMBER(
      MATCH(
        tb_talla[id_talla],
        _xlfn._xlws.FILTER(
          tb_estilo_talla[id_talla],
          (tb_estilo_talla[id_prenda]=Cotiz!L15)*
          (tb_estilo_talla[id_estilo]=Cotiz!O15)
        ),
        0
      )
    ),
    "No hay tallas"
  )
)</f>
        <v>No hay tallas</v>
      </c>
    </row>
    <row r="112" spans="4:10">
      <c r="D112" t="str" cm="1">
        <f t="array" ref="D112">_xlfn._xlws.FILTER(
 tb_color[color],
 ISNUMBER(
   MATCH(
     tb_color[id_color],
     _xlfn._xlws.FILTER(
       tb_tela_color[id_color],
       tb_tela_color[id_tela]=Cotiz!N15
     ),
     0
   )
 ),"No necesario"
)</f>
        <v>No necesario</v>
      </c>
    </row>
    <row r="125" spans="4:10">
      <c r="D125" t="str" cm="1">
        <f t="array" ref="D125">_xlfn._xlws.FILTER(
 tb_color[color],
 ISNUMBER(
   MATCH(
     tb_color[id_color],
     _xlfn._xlws.FILTER(
       tb_tela_color[id_color],
       tb_tela_color[id_tela]=Cotiz!N16
     ),
     0
   )
 ),"No necesario"
)</f>
        <v>No necesario</v>
      </c>
      <c r="J125" t="str" cm="1">
        <f t="array" ref="J125">IF(
  OR(Cotiz!L16=3,Cotiz!L16=4),
  _xlfn._xlws.FILTER(
    tb_talla[talla],
    ISNUMBER(
      MATCH(
        tb_talla[id_talla],
        _xlfn._xlws.FILTER(
          tb_talla_prenda[id_talla],
          tb_talla_prenda[id_prenda]=Cotiz!L16
        ),
        0
      )
    ),
    "No hay tallas"
  ),
  _xlfn._xlws.FILTER(
    tb_talla[talla],
    ISNUMBER(
      MATCH(
        tb_talla[id_talla],
        _xlfn._xlws.FILTER(
          tb_estilo_talla[id_talla],
          (tb_estilo_talla[id_prenda]=Cotiz!L16)*
          (tb_estilo_talla[id_estilo]=Cotiz!O16)
        ),
        0
      )
    ),
    "No hay tallas"
  )
)</f>
        <v>No hay tallas</v>
      </c>
    </row>
    <row r="138" spans="4:10">
      <c r="D138" t="str" cm="1">
        <f t="array" ref="D138">_xlfn._xlws.FILTER(
 tb_color[color],
 ISNUMBER(
   MATCH(
     tb_color[id_color],
     _xlfn._xlws.FILTER(
       tb_tela_color[id_color],
       tb_tela_color[id_tela]=Cotiz!N17
     ),
     0
   )
 ),"No necesario"
)</f>
        <v>No necesario</v>
      </c>
      <c r="J138" t="str" cm="1">
        <f t="array" ref="J138">IF(
  OR(Cotiz!L17=3,Cotiz!L17=4),
  _xlfn._xlws.FILTER(
    tb_talla[talla],
    ISNUMBER(
      MATCH(
        tb_talla[id_talla],
        _xlfn._xlws.FILTER(
          tb_talla_prenda[id_talla],
          tb_talla_prenda[id_prenda]=Cotiz!L17
        ),
        0
      )
    ),
    "No hay tallas"
  ),
  _xlfn._xlws.FILTER(
    tb_talla[talla],
    ISNUMBER(
      MATCH(
        tb_talla[id_talla],
        _xlfn._xlws.FILTER(
          tb_estilo_talla[id_talla],
          (tb_estilo_talla[id_prenda]=Cotiz!L17)*
          (tb_estilo_talla[id_estilo]=Cotiz!O17)
        ),
        0
      )
    ),
    "No hay tallas"
  )
)</f>
        <v>No hay tallas</v>
      </c>
    </row>
    <row r="151" spans="4:10">
      <c r="D151" t="str" cm="1">
        <f t="array" ref="D151">_xlfn._xlws.FILTER(
 tb_color[color],
 ISNUMBER(
   MATCH(
     tb_color[id_color],
     _xlfn._xlws.FILTER(
       tb_tela_color[id_color],
       tb_tela_color[id_tela]=Cotiz!N18
     ),
     0
   )
 ),"No necesario"
)</f>
        <v>No necesario</v>
      </c>
      <c r="J151" t="str" cm="1">
        <f t="array" ref="J151">IF(
  OR(Cotiz!L18=3,Cotiz!L18=4),
  _xlfn._xlws.FILTER(
    tb_talla[talla],
    ISNUMBER(
      MATCH(
        tb_talla[id_talla],
        _xlfn._xlws.FILTER(
          tb_talla_prenda[id_talla],
          tb_talla_prenda[id_prenda]=Cotiz!L18
        ),
        0
      )
    ),
    "No hay tallas"
  ),
  _xlfn._xlws.FILTER(
    tb_talla[talla],
    ISNUMBER(
      MATCH(
        tb_talla[id_talla],
        _xlfn._xlws.FILTER(
          tb_estilo_talla[id_talla],
          (tb_estilo_talla[id_prenda]=Cotiz!L18)*
          (tb_estilo_talla[id_estilo]=Cotiz!O18)
        ),
        0
      )
    ),
    "No hay tallas"
  )
)</f>
        <v>No hay tallas</v>
      </c>
    </row>
    <row r="164" spans="4:10">
      <c r="D164" t="str" cm="1">
        <f t="array" ref="D164">_xlfn._xlws.FILTER(
 tb_color[color],
 ISNUMBER(
   MATCH(
     tb_color[id_color],
     _xlfn._xlws.FILTER(
       tb_tela_color[id_color],
       tb_tela_color[id_tela]=Cotiz!N19
     ),
     0
   )
 ),"No necesario"
)</f>
        <v>No necesario</v>
      </c>
      <c r="J164" t="str" cm="1">
        <f t="array" ref="J164">IF(
  OR(Cotiz!L19=3,Cotiz!L19=4),
  _xlfn._xlws.FILTER(
    tb_talla[talla],
    ISNUMBER(
      MATCH(
        tb_talla[id_talla],
        _xlfn._xlws.FILTER(
          tb_talla_prenda[id_talla],
          tb_talla_prenda[id_prenda]=Cotiz!L19
        ),
        0
      )
    ),
    "No hay tallas"
  ),
  _xlfn._xlws.FILTER(
    tb_talla[talla],
    ISNUMBER(
      MATCH(
        tb_talla[id_talla],
        _xlfn._xlws.FILTER(
          tb_estilo_talla[id_talla],
          (tb_estilo_talla[id_prenda]=Cotiz!L19)*
          (tb_estilo_talla[id_estilo]=Cotiz!O19)
        ),
        0
      )
    ),
    "No hay tallas"
  )
)</f>
        <v>No hay tallas</v>
      </c>
    </row>
    <row r="177" spans="4:10">
      <c r="D177" t="str" cm="1">
        <f t="array" ref="D177">_xlfn._xlws.FILTER(
 tb_color[color],
 ISNUMBER(
   MATCH(
     tb_color[id_color],
     _xlfn._xlws.FILTER(
       tb_tela_color[id_color],
       tb_tela_color[id_tela]=Cotiz!N20
     ),
     0
   )
 ),"No necesario"
)</f>
        <v>No necesario</v>
      </c>
      <c r="J177" t="str" cm="1">
        <f t="array" ref="J177">IF(
  OR(Cotiz!L20=3,Cotiz!L20=4),
  _xlfn._xlws.FILTER(
    tb_talla[talla],
    ISNUMBER(
      MATCH(
        tb_talla[id_talla],
        _xlfn._xlws.FILTER(
          tb_talla_prenda[id_talla],
          tb_talla_prenda[id_prenda]=Cotiz!L20
        ),
        0
      )
    ),
    "No hay tallas"
  ),
  _xlfn._xlws.FILTER(
    tb_talla[talla],
    ISNUMBER(
      MATCH(
        tb_talla[id_talla],
        _xlfn._xlws.FILTER(
          tb_estilo_talla[id_talla],
          (tb_estilo_talla[id_prenda]=Cotiz!L20)*
          (tb_estilo_talla[id_estilo]=Cotiz!O20)
        ),
        0
      )
    ),
    "No hay tallas"
  )
)</f>
        <v>No hay tallas</v>
      </c>
    </row>
    <row r="190" spans="4:10">
      <c r="D190" t="str" cm="1">
        <f t="array" ref="D190">_xlfn._xlws.FILTER(
 tb_color[color],
 ISNUMBER(
   MATCH(
     tb_color[id_color],
     _xlfn._xlws.FILTER(
       tb_tela_color[id_color],
       tb_tela_color[id_tela]=Cotiz!N21
     ),
     0
   )
 ),"No necesario"
)</f>
        <v>No necesario</v>
      </c>
      <c r="J190" t="str" cm="1">
        <f t="array" ref="J190">IF(
  OR(Cotiz!L21=3,Cotiz!L21=4),
  _xlfn._xlws.FILTER(
    tb_talla[talla],
    ISNUMBER(
      MATCH(
        tb_talla[id_talla],
        _xlfn._xlws.FILTER(
          tb_talla_prenda[id_talla],
          tb_talla_prenda[id_prenda]=Cotiz!L21
        ),
        0
      )
    ),
    "No hay tallas"
  ),
  _xlfn._xlws.FILTER(
    tb_talla[talla],
    ISNUMBER(
      MATCH(
        tb_talla[id_talla],
        _xlfn._xlws.FILTER(
          tb_estilo_talla[id_talla],
          (tb_estilo_talla[id_prenda]=Cotiz!L21)*
          (tb_estilo_talla[id_estilo]=Cotiz!O21)
        ),
        0
      )
    ),
    "No hay tallas"
  )
)</f>
        <v>No hay tallas</v>
      </c>
    </row>
    <row r="203" spans="4:10">
      <c r="D203" t="str" cm="1">
        <f t="array" ref="D203">_xlfn._xlws.FILTER(
 tb_color[color],
 ISNUMBER(
   MATCH(
     tb_color[id_color],
     _xlfn._xlws.FILTER(
       tb_tela_color[id_color],
       tb_tela_color[id_tela]=Cotiz!N22
     ),
     0
   )
 ),"No necesario"
)</f>
        <v>No necesario</v>
      </c>
      <c r="J203" t="str" cm="1">
        <f t="array" ref="J203">IF(
  OR(Cotiz!L22=3,Cotiz!L22=4),
  _xlfn._xlws.FILTER(
    tb_talla[talla],
    ISNUMBER(
      MATCH(
        tb_talla[id_talla],
        _xlfn._xlws.FILTER(
          tb_talla_prenda[id_talla],
          tb_talla_prenda[id_prenda]=Cotiz!L22
        ),
        0
      )
    ),
    "No hay tallas"
  ),
  _xlfn._xlws.FILTER(
    tb_talla[talla],
    ISNUMBER(
      MATCH(
        tb_talla[id_talla],
        _xlfn._xlws.FILTER(
          tb_estilo_talla[id_talla],
          (tb_estilo_talla[id_prenda]=Cotiz!L22)*
          (tb_estilo_talla[id_estilo]=Cotiz!O22)
        ),
        0
      )
    ),
    "No hay tallas"
  )
)</f>
        <v>No hay tallas</v>
      </c>
    </row>
    <row r="216" spans="4:10">
      <c r="D216" t="str" cm="1">
        <f t="array" ref="D216">_xlfn._xlws.FILTER(
 tb_color[color],
 ISNUMBER(
   MATCH(
     tb_color[id_color],
     _xlfn._xlws.FILTER(
       tb_tela_color[id_color],
       tb_tela_color[id_tela]=Cotiz!N23
     ),
     0
   )
 ),"No necesario"
)</f>
        <v>No necesario</v>
      </c>
      <c r="J216" t="str" cm="1">
        <f t="array" ref="J216">IF(
  OR(Cotiz!L23=3,Cotiz!L23=4),
  _xlfn._xlws.FILTER(
    tb_talla[talla],
    ISNUMBER(
      MATCH(
        tb_talla[id_talla],
        _xlfn._xlws.FILTER(
          tb_talla_prenda[id_talla],
          tb_talla_prenda[id_prenda]=Cotiz!L23
        ),
        0
      )
    ),
    "No hay tallas"
  ),
  _xlfn._xlws.FILTER(
    tb_talla[talla],
    ISNUMBER(
      MATCH(
        tb_talla[id_talla],
        _xlfn._xlws.FILTER(
          tb_estilo_talla[id_talla],
          (tb_estilo_talla[id_prenda]=Cotiz!L23)*
          (tb_estilo_talla[id_estilo]=Cotiz!O23)
        ),
        0
      )
    ),
    "No hay tallas"
  )
)</f>
        <v>No hay tallas</v>
      </c>
    </row>
    <row r="229" spans="4:10">
      <c r="D229" t="str" cm="1">
        <f t="array" ref="D229">_xlfn._xlws.FILTER(
 tb_color[color],
 ISNUMBER(
   MATCH(
     tb_color[id_color],
     _xlfn._xlws.FILTER(
       tb_tela_color[id_color],
       tb_tela_color[id_tela]=Cotiz!N24
     ),
     0
   )
 ),"No necesario"
)</f>
        <v>No necesario</v>
      </c>
      <c r="J229" t="str" cm="1">
        <f t="array" ref="J229">IF(
  OR(Cotiz!L24=3,Cotiz!L24=4),
  _xlfn._xlws.FILTER(
    tb_talla[talla],
    ISNUMBER(
      MATCH(
        tb_talla[id_talla],
        _xlfn._xlws.FILTER(
          tb_talla_prenda[id_talla],
          tb_talla_prenda[id_prenda]=Cotiz!L24
        ),
        0
      )
    ),
    "No hay tallas"
  ),
  _xlfn._xlws.FILTER(
    tb_talla[talla],
    ISNUMBER(
      MATCH(
        tb_talla[id_talla],
        _xlfn._xlws.FILTER(
          tb_estilo_talla[id_talla],
          (tb_estilo_talla[id_prenda]=Cotiz!L24)*
          (tb_estilo_talla[id_estilo]=Cotiz!O24)
        ),
        0
      )
    ),
    "No hay tallas"
  )
)</f>
        <v>No hay tallas</v>
      </c>
    </row>
    <row r="242" spans="4:10">
      <c r="D242" t="str" cm="1">
        <f t="array" ref="D242">_xlfn._xlws.FILTER(
 tb_color[color],
 ISNUMBER(
   MATCH(
     tb_color[id_color],
     _xlfn._xlws.FILTER(
       tb_tela_color[id_color],
       tb_tela_color[id_tela]=Cotiz!N25
     ),
     0
   )
 ),"No necesario"
)</f>
        <v>No necesario</v>
      </c>
      <c r="J242" t="str" cm="1">
        <f t="array" ref="J242">IF(
  OR(Cotiz!L25=3,Cotiz!L25=4),
  _xlfn._xlws.FILTER(
    tb_talla[talla],
    ISNUMBER(
      MATCH(
        tb_talla[id_talla],
        _xlfn._xlws.FILTER(
          tb_talla_prenda[id_talla],
          tb_talla_prenda[id_prenda]=Cotiz!L25
        ),
        0
      )
    ),
    "No hay tallas"
  ),
  _xlfn._xlws.FILTER(
    tb_talla[talla],
    ISNUMBER(
      MATCH(
        tb_talla[id_talla],
        _xlfn._xlws.FILTER(
          tb_estilo_talla[id_talla],
          (tb_estilo_talla[id_prenda]=Cotiz!L25)*
          (tb_estilo_talla[id_estilo]=Cotiz!O25)
        ),
        0
      )
    ),
    "No hay tallas"
  )
)</f>
        <v>No hay tallas</v>
      </c>
    </row>
    <row r="255" spans="4:10">
      <c r="D255" t="str" cm="1">
        <f t="array" ref="D255">_xlfn._xlws.FILTER(
 tb_color[color],
 ISNUMBER(
   MATCH(
     tb_color[id_color],
     _xlfn._xlws.FILTER(
       tb_tela_color[id_color],
       tb_tela_color[id_tela]=Cotiz!N26
     ),
     0
   )
 ),"No necesario"
)</f>
        <v>No necesario</v>
      </c>
      <c r="J255" t="str" cm="1">
        <f t="array" ref="J255">IF(
  OR(Cotiz!L26=3,Cotiz!L26=4),
  _xlfn._xlws.FILTER(
    tb_talla[talla],
    ISNUMBER(
      MATCH(
        tb_talla[id_talla],
        _xlfn._xlws.FILTER(
          tb_talla_prenda[id_talla],
          tb_talla_prenda[id_prenda]=Cotiz!L26
        ),
        0
      )
    ),
    "No hay tallas"
  ),
  _xlfn._xlws.FILTER(
    tb_talla[talla],
    ISNUMBER(
      MATCH(
        tb_talla[id_talla],
        _xlfn._xlws.FILTER(
          tb_estilo_talla[id_talla],
          (tb_estilo_talla[id_prenda]=Cotiz!L26)*
          (tb_estilo_talla[id_estilo]=Cotiz!O26)
        ),
        0
      )
    ),
    "No hay tallas"
  )
)</f>
        <v>No hay tallas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B8A1-4AAB-4CDD-A44D-2F52E66A97FA}">
  <sheetPr>
    <tabColor rgb="FF0070C0"/>
  </sheetPr>
  <dimension ref="C4:AA36"/>
  <sheetViews>
    <sheetView tabSelected="1" topLeftCell="H1" workbookViewId="0">
      <selection activeCell="J10" sqref="J10"/>
    </sheetView>
  </sheetViews>
  <sheetFormatPr defaultRowHeight="15"/>
  <cols>
    <col min="3" max="3" width="12" customWidth="1"/>
    <col min="4" max="4" width="20.42578125" customWidth="1"/>
    <col min="5" max="5" width="17.85546875" customWidth="1"/>
    <col min="6" max="6" width="12.28515625" bestFit="1" customWidth="1"/>
    <col min="7" max="7" width="17.42578125" customWidth="1"/>
    <col min="8" max="8" width="12.28515625" bestFit="1" customWidth="1"/>
    <col min="9" max="9" width="13.42578125" customWidth="1"/>
    <col min="10" max="10" width="10.7109375" customWidth="1"/>
    <col min="11" max="11" width="8.85546875" customWidth="1"/>
    <col min="12" max="17" width="14" hidden="1" customWidth="1"/>
    <col min="18" max="18" width="11" hidden="1" customWidth="1"/>
    <col min="19" max="19" width="9" hidden="1" customWidth="1"/>
    <col min="20" max="20" width="9.140625" customWidth="1"/>
    <col min="22" max="22" width="50.42578125" bestFit="1" customWidth="1"/>
    <col min="23" max="24" width="15.5703125" customWidth="1"/>
    <col min="26" max="26" width="9.85546875" customWidth="1"/>
  </cols>
  <sheetData>
    <row r="4" spans="3:27" ht="18.75" customHeight="1">
      <c r="U4" s="52" t="s">
        <v>114</v>
      </c>
      <c r="V4" s="53"/>
      <c r="W4" s="53"/>
      <c r="X4" s="53"/>
      <c r="Y4" s="53"/>
      <c r="Z4" s="53"/>
      <c r="AA4" s="54"/>
    </row>
    <row r="5" spans="3:27">
      <c r="C5" s="2"/>
      <c r="D5" s="2"/>
      <c r="E5" s="2"/>
      <c r="U5" s="27"/>
      <c r="V5" s="28"/>
      <c r="W5" s="28"/>
      <c r="X5" s="28"/>
      <c r="Y5" s="28"/>
      <c r="Z5" s="28"/>
      <c r="AA5" s="29"/>
    </row>
    <row r="6" spans="3:27">
      <c r="C6" s="20" t="s">
        <v>0</v>
      </c>
      <c r="D6" s="20" t="s">
        <v>6</v>
      </c>
      <c r="E6" s="20" t="s">
        <v>10</v>
      </c>
      <c r="F6" s="20" t="s">
        <v>14</v>
      </c>
      <c r="G6" s="20" t="s">
        <v>16</v>
      </c>
      <c r="H6" s="20" t="s">
        <v>19</v>
      </c>
      <c r="I6" s="20" t="s">
        <v>21</v>
      </c>
      <c r="J6" s="20" t="s">
        <v>22</v>
      </c>
      <c r="L6" s="20" t="s">
        <v>115</v>
      </c>
      <c r="M6" s="20" t="s">
        <v>116</v>
      </c>
      <c r="N6" s="20" t="s">
        <v>117</v>
      </c>
      <c r="O6" s="20" t="s">
        <v>118</v>
      </c>
      <c r="P6" s="20" t="s">
        <v>119</v>
      </c>
      <c r="Q6" s="20" t="s">
        <v>120</v>
      </c>
      <c r="R6" s="20" t="s">
        <v>121</v>
      </c>
      <c r="S6" s="20" t="s">
        <v>122</v>
      </c>
      <c r="U6" s="27"/>
      <c r="V6" s="20" t="s">
        <v>123</v>
      </c>
      <c r="W6" s="20" t="s">
        <v>23</v>
      </c>
      <c r="X6" s="20" t="s">
        <v>124</v>
      </c>
      <c r="Y6" s="20" t="s">
        <v>22</v>
      </c>
      <c r="Z6" s="20" t="s">
        <v>125</v>
      </c>
      <c r="AA6" s="29"/>
    </row>
    <row r="7" spans="3:27">
      <c r="C7" s="55" t="s">
        <v>1</v>
      </c>
      <c r="D7" s="56" t="s">
        <v>53</v>
      </c>
      <c r="E7" s="56" t="s">
        <v>98</v>
      </c>
      <c r="F7" s="57" t="s">
        <v>72</v>
      </c>
      <c r="G7" s="56" t="s">
        <v>102</v>
      </c>
      <c r="H7" s="56" t="s">
        <v>91</v>
      </c>
      <c r="I7" s="56" t="s">
        <v>17</v>
      </c>
      <c r="J7" s="61">
        <v>2</v>
      </c>
      <c r="L7" s="2">
        <f>_xlfn.XLOOKUP(C7,tb_prenda[prenda],tb_prenda[id_prenda],"No encontrado")</f>
        <v>1</v>
      </c>
      <c r="M7" s="2">
        <f>_xlfn.XLOOKUP(D7,tb_contexto_precio[nombre_contexto],tb_contexto_precio[id_contexto_precio],"No encontrado")</f>
        <v>1</v>
      </c>
      <c r="N7" s="2">
        <f>_xlfn.XLOOKUP(E7,tb_tela[nombre_tela],tb_tela[id_tela],"No encontrado")</f>
        <v>2</v>
      </c>
      <c r="O7" s="2">
        <f>_xlfn.XLOOKUP(G7,tb_estilo[nombre_estilo],tb_estilo[id_estilo],"No encontrado")</f>
        <v>2</v>
      </c>
      <c r="P7" s="2">
        <f>_xlfn.XLOOKUP(H7,tb_talla[talla],tb_talla[id_talla],"No encontrado")</f>
        <v>10</v>
      </c>
      <c r="Q7" s="2" t="str">
        <f>_xlfn.XLOOKUP(I7,tb_marca[nombre_marca],tb_marca[id_marca],"No encontrado")</f>
        <v>No encontrado</v>
      </c>
      <c r="R7" s="2">
        <f>SUMIF($C$7:$C$11,C7,$J$7:$J$11)</f>
        <v>5</v>
      </c>
      <c r="S7" s="2">
        <f>_xlfn.XLOOKUP(R7,tb_rango_cantidad[min],tb_rango_cantidad[id_rango],,-1)</f>
        <v>1</v>
      </c>
      <c r="U7" s="27"/>
      <c r="V7" s="7" t="str">
        <f>UPPER(IF(L7=1,C7&amp;" de "&amp;E7&amp;" "&amp;F7&amp;" "&amp;G7&amp;" "&amp;H7,IF(L7=2,C7&amp;" de "&amp;E7&amp;" "&amp;F7&amp;" "&amp;G7&amp;" "&amp;H7,IF(L7=3,C7&amp;" "&amp;F7&amp;" TALLA "&amp;H7,C7&amp;" "&amp;I7&amp;" TALLA "&amp;H7))))</f>
        <v>POLO DE CALIDAD INTERMEDIA NEGRO RECTO L</v>
      </c>
      <c r="W7" s="23" cm="1">
        <f t="array" ref="W7">IF(L7=1,
    _xlfn.XLOOKUP(1,
      (tb_precio_polos[id_contexto_precio]=M7)*
      (tb_precio_polos[id_tela]=N7)*
      (tb_precio_polos[id_talla]=P7)*
      (tb_precio_polos[id_rango]=S7),
      tb_precio_polos[precio]
    ),
IF(L7=2,
    _xlfn.XLOOKUP(1,
      (tb_precio_poleras[id_contexto_precio]=M7)*
      (tb_precio_poleras[id_tela]=N7)*
      (tb_precio_poleras[id_estilo]=O7)*
      (tb_precio_poleras[id_talla]=P7)*
      (tb_precio_poleras[id_rango]=S7),
      tb_precio_poleras[precio]
    ),
IF(L7=3,
    _xlfn.XLOOKUP(1,
      (tb_precio_body[id_contexto_precio]=M7)*
      (tb_precio_body[id_talla]=P7)*
      (tb_precio_body[id_rango]=S7),
      tb_precio_body[precio]
    ),
IF(L7=4,
    _xlfn.XLOOKUP(1,
      (tb_precio_boxer[id_contexto_precio]=M7)*
      (tb_precio_boxer[id_marca]=Q7)*
      (tb_precio_boxer[id_talla]=P7),
      tb_precio_boxer[precio]
    ),
""
))))</f>
        <v>28</v>
      </c>
      <c r="X7" s="23"/>
      <c r="Y7" s="24">
        <f>J7</f>
        <v>2</v>
      </c>
      <c r="Z7" s="25">
        <f>(W7+X7)*Y7</f>
        <v>56</v>
      </c>
      <c r="AA7" s="29"/>
    </row>
    <row r="8" spans="3:27">
      <c r="C8" s="55" t="s">
        <v>1</v>
      </c>
      <c r="D8" s="56" t="s">
        <v>53</v>
      </c>
      <c r="E8" s="56" t="s">
        <v>11</v>
      </c>
      <c r="F8" s="57" t="s">
        <v>15</v>
      </c>
      <c r="G8" s="56" t="s">
        <v>102</v>
      </c>
      <c r="H8" s="56" t="s">
        <v>90</v>
      </c>
      <c r="I8" s="56" t="s">
        <v>17</v>
      </c>
      <c r="J8" s="61">
        <v>2</v>
      </c>
      <c r="L8" s="2">
        <f>_xlfn.XLOOKUP(C8,tb_prenda[prenda],tb_prenda[id_prenda],"No encontrado")</f>
        <v>1</v>
      </c>
      <c r="M8" s="2">
        <f>_xlfn.XLOOKUP(D8,tb_contexto_precio[nombre_contexto],tb_contexto_precio[id_contexto_precio],"No encontrado")</f>
        <v>1</v>
      </c>
      <c r="N8" s="2">
        <f>_xlfn.XLOOKUP(E8,tb_tela[nombre_tela],tb_tela[id_tela],"No encontrado")</f>
        <v>1</v>
      </c>
      <c r="O8" s="2">
        <f>_xlfn.XLOOKUP(G8,tb_estilo[nombre_estilo],tb_estilo[id_estilo],"No encontrado")</f>
        <v>2</v>
      </c>
      <c r="P8" s="2">
        <f>_xlfn.XLOOKUP(H8,tb_talla[talla],tb_talla[id_talla],"No encontrado")</f>
        <v>9</v>
      </c>
      <c r="Q8" s="2" t="str">
        <f>_xlfn.XLOOKUP(I8,tb_marca[nombre_marca],tb_marca[id_marca],"No encontrado")</f>
        <v>No encontrado</v>
      </c>
      <c r="R8" s="2">
        <f t="shared" ref="R8:R27" si="0">SUMIF($C$7:$C$11,C8,$J$7:$J$11)</f>
        <v>5</v>
      </c>
      <c r="S8" s="2">
        <f>_xlfn.XLOOKUP(R8,tb_rango_cantidad[min],tb_rango_cantidad[id_rango],,-1)</f>
        <v>1</v>
      </c>
      <c r="U8" s="27"/>
      <c r="V8" s="7" t="str">
        <f t="shared" ref="V8:V26" si="1">UPPER(IF(L8=1,C8&amp;" de "&amp;E8&amp;" "&amp;F8&amp;" "&amp;G8&amp;" "&amp;H8,IF(L8=2,C8&amp;" de "&amp;E8&amp;" "&amp;F8&amp;" "&amp;G8&amp;" "&amp;H8,IF(L8=3,C8&amp;" "&amp;F8&amp;" TALLA "&amp;H8,C8&amp;" "&amp;I8&amp;" TALLA "&amp;H8))))</f>
        <v>POLO DE ALTA CALIDAD BLANCO RECTO M</v>
      </c>
      <c r="W8" s="23" cm="1">
        <f t="array" ref="W8">IF(L8=1,
    _xlfn.XLOOKUP(1,
      (tb_precio_polos[id_contexto_precio]=M8)*
      (tb_precio_polos[id_tela]=N8)*
      (tb_precio_polos[id_talla]=P8)*
      (tb_precio_polos[id_rango]=S8),
      tb_precio_polos[precio]
    ),
IF(L8=2,
    _xlfn.XLOOKUP(1,
      (tb_precio_poleras[id_contexto_precio]=M8)*
      (tb_precio_poleras[id_tela]=N8)*
      (tb_precio_poleras[id_estilo]=O8)*
      (tb_precio_poleras[id_talla]=P8)*
      (tb_precio_poleras[id_rango]=S8),
      tb_precio_poleras[precio]
    ),
IF(L8=3,
    _xlfn.XLOOKUP(1,
      (tb_precio_body[id_contexto_precio]=M8)*
      (tb_precio_body[id_talla]=P8)*
      (tb_precio_body[id_rango]=S8),
      tb_precio_body[precio]
    ),
IF(L8=4,
    _xlfn.XLOOKUP(1,
      (tb_precio_boxer[id_contexto_precio]=M8)*
      (tb_precio_boxer[id_marca]=Q8)*
      (tb_precio_boxer[id_talla]=P8),
      tb_precio_boxer[precio]
    ),
""
))))</f>
        <v>35</v>
      </c>
      <c r="X8" s="23"/>
      <c r="Y8" s="24">
        <f t="shared" ref="Y8:Y26" si="2">J8</f>
        <v>2</v>
      </c>
      <c r="Z8" s="25">
        <f t="shared" ref="Z8:Z26" si="3">(W8+X8)*Y8</f>
        <v>70</v>
      </c>
      <c r="AA8" s="29"/>
    </row>
    <row r="9" spans="3:27">
      <c r="C9" s="55" t="s">
        <v>1</v>
      </c>
      <c r="D9" s="56" t="s">
        <v>53</v>
      </c>
      <c r="E9" s="56" t="s">
        <v>11</v>
      </c>
      <c r="F9" s="57" t="s">
        <v>68</v>
      </c>
      <c r="G9" s="56" t="s">
        <v>102</v>
      </c>
      <c r="H9" s="56" t="s">
        <v>89</v>
      </c>
      <c r="I9" s="56" t="s">
        <v>17</v>
      </c>
      <c r="J9" s="61">
        <v>1</v>
      </c>
      <c r="L9" s="2">
        <f>_xlfn.XLOOKUP(C9,tb_prenda[prenda],tb_prenda[id_prenda],"No encontrado")</f>
        <v>1</v>
      </c>
      <c r="M9" s="2">
        <f>_xlfn.XLOOKUP(D9,tb_contexto_precio[nombre_contexto],tb_contexto_precio[id_contexto_precio],"No encontrado")</f>
        <v>1</v>
      </c>
      <c r="N9" s="2">
        <f>_xlfn.XLOOKUP(E9,tb_tela[nombre_tela],tb_tela[id_tela],"No encontrado")</f>
        <v>1</v>
      </c>
      <c r="O9" s="2">
        <f>_xlfn.XLOOKUP(G9,tb_estilo[nombre_estilo],tb_estilo[id_estilo],"No encontrado")</f>
        <v>2</v>
      </c>
      <c r="P9" s="2">
        <f>_xlfn.XLOOKUP(H9,tb_talla[talla],tb_talla[id_talla],"No encontrado")</f>
        <v>8</v>
      </c>
      <c r="Q9" s="2" t="str">
        <f>_xlfn.XLOOKUP(I9,tb_marca[nombre_marca],tb_marca[id_marca],"No encontrado")</f>
        <v>No encontrado</v>
      </c>
      <c r="R9" s="2">
        <f t="shared" si="0"/>
        <v>5</v>
      </c>
      <c r="S9" s="2">
        <f>_xlfn.XLOOKUP(R9,tb_rango_cantidad[min],tb_rango_cantidad[id_rango],,-1)</f>
        <v>1</v>
      </c>
      <c r="U9" s="27"/>
      <c r="V9" s="7" t="str">
        <f t="shared" si="1"/>
        <v>POLO DE ALTA CALIDAD AZUL RECTO S</v>
      </c>
      <c r="W9" s="23" cm="1">
        <f t="array" ref="W9">IF(L9=1,
    _xlfn.XLOOKUP(1,
      (tb_precio_polos[id_contexto_precio]=M9)*
      (tb_precio_polos[id_tela]=N9)*
      (tb_precio_polos[id_talla]=P9)*
      (tb_precio_polos[id_rango]=S9),
      tb_precio_polos[precio]
    ),
IF(L9=2,
    _xlfn.XLOOKUP(1,
      (tb_precio_poleras[id_contexto_precio]=M9)*
      (tb_precio_poleras[id_tela]=N9)*
      (tb_precio_poleras[id_estilo]=O9)*
      (tb_precio_poleras[id_talla]=P9)*
      (tb_precio_poleras[id_rango]=S9),
      tb_precio_poleras[precio]
    ),
IF(L9=3,
    _xlfn.XLOOKUP(1,
      (tb_precio_body[id_contexto_precio]=M9)*
      (tb_precio_body[id_talla]=P9)*
      (tb_precio_body[id_rango]=S9),
      tb_precio_body[precio]
    ),
IF(L9=4,
    _xlfn.XLOOKUP(1,
      (tb_precio_boxer[id_contexto_precio]=M9)*
      (tb_precio_boxer[id_marca]=Q9)*
      (tb_precio_boxer[id_talla]=P9),
      tb_precio_boxer[precio]
    ),
""
))))</f>
        <v>35</v>
      </c>
      <c r="X9" s="23"/>
      <c r="Y9" s="24">
        <f t="shared" si="2"/>
        <v>1</v>
      </c>
      <c r="Z9" s="25">
        <f t="shared" si="3"/>
        <v>35</v>
      </c>
      <c r="AA9" s="29"/>
    </row>
    <row r="10" spans="3:27">
      <c r="C10" s="55"/>
      <c r="D10" s="56"/>
      <c r="E10" s="56"/>
      <c r="F10" s="57"/>
      <c r="G10" s="56"/>
      <c r="H10" s="56"/>
      <c r="I10" s="56"/>
      <c r="J10" s="61"/>
      <c r="L10" s="2" t="str">
        <f>_xlfn.XLOOKUP(C10,tb_prenda[prenda],tb_prenda[id_prenda],"No encontrado")</f>
        <v>No encontrado</v>
      </c>
      <c r="M10" s="2" t="str">
        <f>_xlfn.XLOOKUP(D10,tb_contexto_precio[nombre_contexto],tb_contexto_precio[id_contexto_precio],"No encontrado")</f>
        <v>No encontrado</v>
      </c>
      <c r="N10" s="2" t="str">
        <f>_xlfn.XLOOKUP(E10,tb_tela[nombre_tela],tb_tela[id_tela],"No encontrado")</f>
        <v>No encontrado</v>
      </c>
      <c r="O10" s="2" t="str">
        <f>_xlfn.XLOOKUP(G10,tb_estilo[nombre_estilo],tb_estilo[id_estilo],"No encontrado")</f>
        <v>No encontrado</v>
      </c>
      <c r="P10" s="2" t="str">
        <f>_xlfn.XLOOKUP(H10,tb_talla[talla],tb_talla[id_talla],"No encontrado")</f>
        <v>No encontrado</v>
      </c>
      <c r="Q10" s="2" t="str">
        <f>_xlfn.XLOOKUP(I10,tb_marca[nombre_marca],tb_marca[id_marca],"No encontrado")</f>
        <v>No encontrado</v>
      </c>
      <c r="R10" s="2">
        <f t="shared" si="0"/>
        <v>0</v>
      </c>
      <c r="S10" s="2" t="e">
        <f>_xlfn.XLOOKUP(R10,tb_rango_cantidad[min],tb_rango_cantidad[id_rango],,-1)</f>
        <v>#N/A</v>
      </c>
      <c r="U10" s="27"/>
      <c r="V10" s="7"/>
      <c r="W10" s="23"/>
      <c r="X10" s="23"/>
      <c r="Y10" s="24"/>
      <c r="Z10" s="25"/>
      <c r="AA10" s="29"/>
    </row>
    <row r="11" spans="3:27">
      <c r="C11" s="55"/>
      <c r="D11" s="56"/>
      <c r="E11" s="56"/>
      <c r="F11" s="57"/>
      <c r="G11" s="56"/>
      <c r="H11" s="56"/>
      <c r="I11" s="56"/>
      <c r="J11" s="61"/>
      <c r="L11" s="2" t="str">
        <f>_xlfn.XLOOKUP(C11,tb_prenda[prenda],tb_prenda[id_prenda],"No encontrado")</f>
        <v>No encontrado</v>
      </c>
      <c r="M11" s="2" t="str">
        <f>_xlfn.XLOOKUP(D11,tb_contexto_precio[nombre_contexto],tb_contexto_precio[id_contexto_precio],"No encontrado")</f>
        <v>No encontrado</v>
      </c>
      <c r="N11" s="2" t="str">
        <f>_xlfn.XLOOKUP(E11,tb_tela[nombre_tela],tb_tela[id_tela],"No encontrado")</f>
        <v>No encontrado</v>
      </c>
      <c r="O11" s="2" t="str">
        <f>_xlfn.XLOOKUP(G11,tb_estilo[nombre_estilo],tb_estilo[id_estilo],"No encontrado")</f>
        <v>No encontrado</v>
      </c>
      <c r="P11" s="2" t="str">
        <f>_xlfn.XLOOKUP(H11,tb_talla[talla],tb_talla[id_talla],"No encontrado")</f>
        <v>No encontrado</v>
      </c>
      <c r="Q11" s="2" t="str">
        <f>_xlfn.XLOOKUP(I11,tb_marca[nombre_marca],tb_marca[id_marca],"No encontrado")</f>
        <v>No encontrado</v>
      </c>
      <c r="R11" s="2">
        <f t="shared" si="0"/>
        <v>0</v>
      </c>
      <c r="S11" s="2" t="e">
        <f>_xlfn.XLOOKUP(R11,tb_rango_cantidad[min],tb_rango_cantidad[id_rango],,-1)</f>
        <v>#N/A</v>
      </c>
      <c r="U11" s="27"/>
      <c r="V11" s="7"/>
      <c r="W11" s="23"/>
      <c r="X11" s="23"/>
      <c r="Y11" s="24"/>
      <c r="Z11" s="25"/>
      <c r="AA11" s="29"/>
    </row>
    <row r="12" spans="3:27">
      <c r="C12" s="55"/>
      <c r="D12" s="56"/>
      <c r="E12" s="56"/>
      <c r="F12" s="57"/>
      <c r="G12" s="56"/>
      <c r="H12" s="56"/>
      <c r="I12" s="56"/>
      <c r="J12" s="61"/>
      <c r="L12" s="2" t="str">
        <f>_xlfn.XLOOKUP(C12,tb_prenda[prenda],tb_prenda[id_prenda],"No encontrado")</f>
        <v>No encontrado</v>
      </c>
      <c r="M12" s="2" t="str">
        <f>_xlfn.XLOOKUP(D12,tb_contexto_precio[nombre_contexto],tb_contexto_precio[id_contexto_precio],"No encontrado")</f>
        <v>No encontrado</v>
      </c>
      <c r="N12" s="2" t="str">
        <f>_xlfn.XLOOKUP(E12,tb_tela[nombre_tela],tb_tela[id_tela],"No encontrado")</f>
        <v>No encontrado</v>
      </c>
      <c r="O12" s="2" t="str">
        <f>_xlfn.XLOOKUP(G12,tb_estilo[nombre_estilo],tb_estilo[id_estilo],"No encontrado")</f>
        <v>No encontrado</v>
      </c>
      <c r="P12" s="2" t="str">
        <f>_xlfn.XLOOKUP(H12,tb_talla[talla],tb_talla[id_talla],"No encontrado")</f>
        <v>No encontrado</v>
      </c>
      <c r="Q12" s="2" t="str">
        <f>_xlfn.XLOOKUP(I12,tb_marca[nombre_marca],tb_marca[id_marca],"No encontrado")</f>
        <v>No encontrado</v>
      </c>
      <c r="R12" s="2">
        <f t="shared" si="0"/>
        <v>0</v>
      </c>
      <c r="S12" s="2" t="e">
        <f>_xlfn.XLOOKUP(R12,tb_rango_cantidad[min],tb_rango_cantidad[id_rango],,-1)</f>
        <v>#N/A</v>
      </c>
      <c r="U12" s="27"/>
      <c r="V12" s="7"/>
      <c r="W12" s="23"/>
      <c r="X12" s="23"/>
      <c r="Y12" s="24"/>
      <c r="Z12" s="25"/>
      <c r="AA12" s="29"/>
    </row>
    <row r="13" spans="3:27">
      <c r="C13" s="55"/>
      <c r="D13" s="56"/>
      <c r="E13" s="56"/>
      <c r="F13" s="57"/>
      <c r="G13" s="56"/>
      <c r="H13" s="56"/>
      <c r="I13" s="56"/>
      <c r="J13" s="61"/>
      <c r="L13" s="2" t="str">
        <f>_xlfn.XLOOKUP(C13,tb_prenda[prenda],tb_prenda[id_prenda],"No encontrado")</f>
        <v>No encontrado</v>
      </c>
      <c r="M13" s="2" t="str">
        <f>_xlfn.XLOOKUP(D13,tb_contexto_precio[nombre_contexto],tb_contexto_precio[id_contexto_precio],"No encontrado")</f>
        <v>No encontrado</v>
      </c>
      <c r="N13" s="2" t="str">
        <f>_xlfn.XLOOKUP(E13,tb_tela[nombre_tela],tb_tela[id_tela],"No encontrado")</f>
        <v>No encontrado</v>
      </c>
      <c r="O13" s="2" t="str">
        <f>_xlfn.XLOOKUP(G13,tb_estilo[nombre_estilo],tb_estilo[id_estilo],"No encontrado")</f>
        <v>No encontrado</v>
      </c>
      <c r="P13" s="2" t="str">
        <f>_xlfn.XLOOKUP(H13,tb_talla[talla],tb_talla[id_talla],"No encontrado")</f>
        <v>No encontrado</v>
      </c>
      <c r="Q13" s="2" t="str">
        <f>_xlfn.XLOOKUP(I13,tb_marca[nombre_marca],tb_marca[id_marca],"No encontrado")</f>
        <v>No encontrado</v>
      </c>
      <c r="R13" s="2">
        <f t="shared" si="0"/>
        <v>0</v>
      </c>
      <c r="S13" s="2" t="e">
        <f>_xlfn.XLOOKUP(R13,tb_rango_cantidad[min],tb_rango_cantidad[id_rango],,-1)</f>
        <v>#N/A</v>
      </c>
      <c r="U13" s="27"/>
      <c r="V13" s="7"/>
      <c r="W13" s="23"/>
      <c r="X13" s="23"/>
      <c r="Y13" s="24"/>
      <c r="Z13" s="25"/>
      <c r="AA13" s="29"/>
    </row>
    <row r="14" spans="3:27">
      <c r="C14" s="55"/>
      <c r="D14" s="56"/>
      <c r="E14" s="56"/>
      <c r="F14" s="57"/>
      <c r="G14" s="56"/>
      <c r="H14" s="56"/>
      <c r="I14" s="56"/>
      <c r="J14" s="61"/>
      <c r="L14" s="2" t="str">
        <f>_xlfn.XLOOKUP(C14,tb_prenda[prenda],tb_prenda[id_prenda],"No encontrado")</f>
        <v>No encontrado</v>
      </c>
      <c r="M14" s="2" t="str">
        <f>_xlfn.XLOOKUP(D14,tb_contexto_precio[nombre_contexto],tb_contexto_precio[id_contexto_precio],"No encontrado")</f>
        <v>No encontrado</v>
      </c>
      <c r="N14" s="2" t="str">
        <f>_xlfn.XLOOKUP(E14,tb_tela[nombre_tela],tb_tela[id_tela],"No encontrado")</f>
        <v>No encontrado</v>
      </c>
      <c r="O14" s="2" t="str">
        <f>_xlfn.XLOOKUP(G14,tb_estilo[nombre_estilo],tb_estilo[id_estilo],"No encontrado")</f>
        <v>No encontrado</v>
      </c>
      <c r="P14" s="2" t="str">
        <f>_xlfn.XLOOKUP(H14,tb_talla[talla],tb_talla[id_talla],"No encontrado")</f>
        <v>No encontrado</v>
      </c>
      <c r="Q14" s="2" t="str">
        <f>_xlfn.XLOOKUP(I14,tb_marca[nombre_marca],tb_marca[id_marca],"No encontrado")</f>
        <v>No encontrado</v>
      </c>
      <c r="R14" s="2">
        <f t="shared" si="0"/>
        <v>0</v>
      </c>
      <c r="S14" s="2" t="e">
        <f>_xlfn.XLOOKUP(R14,tb_rango_cantidad[min],tb_rango_cantidad[id_rango],,-1)</f>
        <v>#N/A</v>
      </c>
      <c r="U14" s="27"/>
      <c r="V14" s="7"/>
      <c r="W14" s="23"/>
      <c r="X14" s="23"/>
      <c r="Y14" s="24"/>
      <c r="Z14" s="25"/>
      <c r="AA14" s="29"/>
    </row>
    <row r="15" spans="3:27">
      <c r="C15" s="55"/>
      <c r="D15" s="56"/>
      <c r="E15" s="56"/>
      <c r="F15" s="57"/>
      <c r="G15" s="56"/>
      <c r="H15" s="56"/>
      <c r="I15" s="56"/>
      <c r="J15" s="61"/>
      <c r="L15" s="2" t="str">
        <f>_xlfn.XLOOKUP(C15,tb_prenda[prenda],tb_prenda[id_prenda],"No encontrado")</f>
        <v>No encontrado</v>
      </c>
      <c r="M15" s="2" t="str">
        <f>_xlfn.XLOOKUP(D15,tb_contexto_precio[nombre_contexto],tb_contexto_precio[id_contexto_precio],"No encontrado")</f>
        <v>No encontrado</v>
      </c>
      <c r="N15" s="2" t="str">
        <f>_xlfn.XLOOKUP(E15,tb_tela[nombre_tela],tb_tela[id_tela],"No encontrado")</f>
        <v>No encontrado</v>
      </c>
      <c r="O15" s="2" t="str">
        <f>_xlfn.XLOOKUP(G15,tb_estilo[nombre_estilo],tb_estilo[id_estilo],"No encontrado")</f>
        <v>No encontrado</v>
      </c>
      <c r="P15" s="2" t="str">
        <f>_xlfn.XLOOKUP(H15,tb_talla[talla],tb_talla[id_talla],"No encontrado")</f>
        <v>No encontrado</v>
      </c>
      <c r="Q15" s="2" t="str">
        <f>_xlfn.XLOOKUP(I15,tb_marca[nombre_marca],tb_marca[id_marca],"No encontrado")</f>
        <v>No encontrado</v>
      </c>
      <c r="R15" s="2">
        <f t="shared" si="0"/>
        <v>0</v>
      </c>
      <c r="S15" s="2" t="e">
        <f>_xlfn.XLOOKUP(R15,tb_rango_cantidad[min],tb_rango_cantidad[id_rango],,-1)</f>
        <v>#N/A</v>
      </c>
      <c r="U15" s="27"/>
      <c r="V15" s="7"/>
      <c r="W15" s="23"/>
      <c r="X15" s="23"/>
      <c r="Y15" s="24"/>
      <c r="Z15" s="25"/>
      <c r="AA15" s="29"/>
    </row>
    <row r="16" spans="3:27">
      <c r="C16" s="55"/>
      <c r="D16" s="56"/>
      <c r="E16" s="56"/>
      <c r="F16" s="57"/>
      <c r="G16" s="56"/>
      <c r="H16" s="56"/>
      <c r="I16" s="56"/>
      <c r="J16" s="61"/>
      <c r="L16" s="2" t="str">
        <f>_xlfn.XLOOKUP(C16,tb_prenda[prenda],tb_prenda[id_prenda],"No encontrado")</f>
        <v>No encontrado</v>
      </c>
      <c r="M16" s="2" t="str">
        <f>_xlfn.XLOOKUP(D16,tb_contexto_precio[nombre_contexto],tb_contexto_precio[id_contexto_precio],"No encontrado")</f>
        <v>No encontrado</v>
      </c>
      <c r="N16" s="2" t="str">
        <f>_xlfn.XLOOKUP(E16,tb_tela[nombre_tela],tb_tela[id_tela],"No encontrado")</f>
        <v>No encontrado</v>
      </c>
      <c r="O16" s="2" t="str">
        <f>_xlfn.XLOOKUP(G16,tb_estilo[nombre_estilo],tb_estilo[id_estilo],"No encontrado")</f>
        <v>No encontrado</v>
      </c>
      <c r="P16" s="2" t="str">
        <f>_xlfn.XLOOKUP(H16,tb_talla[talla],tb_talla[id_talla],"No encontrado")</f>
        <v>No encontrado</v>
      </c>
      <c r="Q16" s="2" t="str">
        <f>_xlfn.XLOOKUP(I16,tb_marca[nombre_marca],tb_marca[id_marca],"No encontrado")</f>
        <v>No encontrado</v>
      </c>
      <c r="R16" s="2">
        <f t="shared" si="0"/>
        <v>0</v>
      </c>
      <c r="S16" s="2" t="e">
        <f>_xlfn.XLOOKUP(R16,tb_rango_cantidad[min],tb_rango_cantidad[id_rango],,-1)</f>
        <v>#N/A</v>
      </c>
      <c r="U16" s="27"/>
      <c r="V16" s="7"/>
      <c r="W16" s="23"/>
      <c r="X16" s="23"/>
      <c r="Y16" s="24"/>
      <c r="Z16" s="25"/>
      <c r="AA16" s="29"/>
    </row>
    <row r="17" spans="3:27">
      <c r="C17" s="55"/>
      <c r="D17" s="56"/>
      <c r="E17" s="56"/>
      <c r="F17" s="57"/>
      <c r="G17" s="56"/>
      <c r="H17" s="56"/>
      <c r="I17" s="56"/>
      <c r="J17" s="61"/>
      <c r="L17" s="2" t="str">
        <f>_xlfn.XLOOKUP(C17,tb_prenda[prenda],tb_prenda[id_prenda],"No encontrado")</f>
        <v>No encontrado</v>
      </c>
      <c r="M17" s="2" t="str">
        <f>_xlfn.XLOOKUP(D17,tb_contexto_precio[nombre_contexto],tb_contexto_precio[id_contexto_precio],"No encontrado")</f>
        <v>No encontrado</v>
      </c>
      <c r="N17" s="2" t="str">
        <f>_xlfn.XLOOKUP(E17,tb_tela[nombre_tela],tb_tela[id_tela],"No encontrado")</f>
        <v>No encontrado</v>
      </c>
      <c r="O17" s="2" t="str">
        <f>_xlfn.XLOOKUP(G17,tb_estilo[nombre_estilo],tb_estilo[id_estilo],"No encontrado")</f>
        <v>No encontrado</v>
      </c>
      <c r="P17" s="2" t="str">
        <f>_xlfn.XLOOKUP(H17,tb_talla[talla],tb_talla[id_talla],"No encontrado")</f>
        <v>No encontrado</v>
      </c>
      <c r="Q17" s="2" t="str">
        <f>_xlfn.XLOOKUP(I17,tb_marca[nombre_marca],tb_marca[id_marca],"No encontrado")</f>
        <v>No encontrado</v>
      </c>
      <c r="R17" s="2">
        <f t="shared" si="0"/>
        <v>0</v>
      </c>
      <c r="S17" s="2" t="e">
        <f>_xlfn.XLOOKUP(R17,tb_rango_cantidad[min],tb_rango_cantidad[id_rango],,-1)</f>
        <v>#N/A</v>
      </c>
      <c r="U17" s="27"/>
      <c r="V17" s="7"/>
      <c r="W17" s="23"/>
      <c r="X17" s="23"/>
      <c r="Y17" s="24"/>
      <c r="Z17" s="25"/>
      <c r="AA17" s="29"/>
    </row>
    <row r="18" spans="3:27">
      <c r="C18" s="55"/>
      <c r="D18" s="56"/>
      <c r="E18" s="56"/>
      <c r="F18" s="57"/>
      <c r="G18" s="56"/>
      <c r="H18" s="56"/>
      <c r="I18" s="56"/>
      <c r="J18" s="61"/>
      <c r="L18" s="2" t="str">
        <f>_xlfn.XLOOKUP(C18,tb_prenda[prenda],tb_prenda[id_prenda],"No encontrado")</f>
        <v>No encontrado</v>
      </c>
      <c r="M18" s="2" t="str">
        <f>_xlfn.XLOOKUP(D18,tb_contexto_precio[nombre_contexto],tb_contexto_precio[id_contexto_precio],"No encontrado")</f>
        <v>No encontrado</v>
      </c>
      <c r="N18" s="2" t="str">
        <f>_xlfn.XLOOKUP(E18,tb_tela[nombre_tela],tb_tela[id_tela],"No encontrado")</f>
        <v>No encontrado</v>
      </c>
      <c r="O18" s="2" t="str">
        <f>_xlfn.XLOOKUP(G18,tb_estilo[nombre_estilo],tb_estilo[id_estilo],"No encontrado")</f>
        <v>No encontrado</v>
      </c>
      <c r="P18" s="2" t="str">
        <f>_xlfn.XLOOKUP(H18,tb_talla[talla],tb_talla[id_talla],"No encontrado")</f>
        <v>No encontrado</v>
      </c>
      <c r="Q18" s="2" t="str">
        <f>_xlfn.XLOOKUP(I18,tb_marca[nombre_marca],tb_marca[id_marca],"No encontrado")</f>
        <v>No encontrado</v>
      </c>
      <c r="R18" s="2">
        <f t="shared" si="0"/>
        <v>0</v>
      </c>
      <c r="S18" s="2" t="e">
        <f>_xlfn.XLOOKUP(R18,tb_rango_cantidad[min],tb_rango_cantidad[id_rango],,-1)</f>
        <v>#N/A</v>
      </c>
      <c r="U18" s="27"/>
      <c r="V18" s="7"/>
      <c r="W18" s="23"/>
      <c r="X18" s="23"/>
      <c r="Y18" s="24"/>
      <c r="Z18" s="25"/>
      <c r="AA18" s="29"/>
    </row>
    <row r="19" spans="3:27">
      <c r="C19" s="55"/>
      <c r="D19" s="56"/>
      <c r="E19" s="56"/>
      <c r="F19" s="57"/>
      <c r="G19" s="56"/>
      <c r="H19" s="56"/>
      <c r="I19" s="56"/>
      <c r="J19" s="61"/>
      <c r="L19" s="2" t="str">
        <f>_xlfn.XLOOKUP(C19,tb_prenda[prenda],tb_prenda[id_prenda],"No encontrado")</f>
        <v>No encontrado</v>
      </c>
      <c r="M19" s="2" t="str">
        <f>_xlfn.XLOOKUP(D19,tb_contexto_precio[nombre_contexto],tb_contexto_precio[id_contexto_precio],"No encontrado")</f>
        <v>No encontrado</v>
      </c>
      <c r="N19" s="2" t="str">
        <f>_xlfn.XLOOKUP(E19,tb_tela[nombre_tela],tb_tela[id_tela],"No encontrado")</f>
        <v>No encontrado</v>
      </c>
      <c r="O19" s="2" t="str">
        <f>_xlfn.XLOOKUP(G19,tb_estilo[nombre_estilo],tb_estilo[id_estilo],"No encontrado")</f>
        <v>No encontrado</v>
      </c>
      <c r="P19" s="2" t="str">
        <f>_xlfn.XLOOKUP(H19,tb_talla[talla],tb_talla[id_talla],"No encontrado")</f>
        <v>No encontrado</v>
      </c>
      <c r="Q19" s="2" t="str">
        <f>_xlfn.XLOOKUP(I19,tb_marca[nombre_marca],tb_marca[id_marca],"No encontrado")</f>
        <v>No encontrado</v>
      </c>
      <c r="R19" s="2">
        <f t="shared" si="0"/>
        <v>0</v>
      </c>
      <c r="S19" s="2" t="e">
        <f>_xlfn.XLOOKUP(R19,tb_rango_cantidad[min],tb_rango_cantidad[id_rango],,-1)</f>
        <v>#N/A</v>
      </c>
      <c r="U19" s="27"/>
      <c r="V19" s="7"/>
      <c r="W19" s="23"/>
      <c r="X19" s="23"/>
      <c r="Y19" s="24"/>
      <c r="Z19" s="25"/>
      <c r="AA19" s="29"/>
    </row>
    <row r="20" spans="3:27">
      <c r="C20" s="55"/>
      <c r="D20" s="56"/>
      <c r="E20" s="56"/>
      <c r="F20" s="57"/>
      <c r="G20" s="56"/>
      <c r="H20" s="56"/>
      <c r="I20" s="56"/>
      <c r="J20" s="61"/>
      <c r="L20" s="2" t="str">
        <f>_xlfn.XLOOKUP(C20,tb_prenda[prenda],tb_prenda[id_prenda],"No encontrado")</f>
        <v>No encontrado</v>
      </c>
      <c r="M20" s="2" t="str">
        <f>_xlfn.XLOOKUP(D20,tb_contexto_precio[nombre_contexto],tb_contexto_precio[id_contexto_precio],"No encontrado")</f>
        <v>No encontrado</v>
      </c>
      <c r="N20" s="2" t="str">
        <f>_xlfn.XLOOKUP(E20,tb_tela[nombre_tela],tb_tela[id_tela],"No encontrado")</f>
        <v>No encontrado</v>
      </c>
      <c r="O20" s="2" t="str">
        <f>_xlfn.XLOOKUP(G20,tb_estilo[nombre_estilo],tb_estilo[id_estilo],"No encontrado")</f>
        <v>No encontrado</v>
      </c>
      <c r="P20" s="2" t="str">
        <f>_xlfn.XLOOKUP(H20,tb_talla[talla],tb_talla[id_talla],"No encontrado")</f>
        <v>No encontrado</v>
      </c>
      <c r="Q20" s="2" t="str">
        <f>_xlfn.XLOOKUP(I20,tb_marca[nombre_marca],tb_marca[id_marca],"No encontrado")</f>
        <v>No encontrado</v>
      </c>
      <c r="R20" s="2">
        <f t="shared" si="0"/>
        <v>0</v>
      </c>
      <c r="S20" s="2" t="e">
        <f>_xlfn.XLOOKUP(R20,tb_rango_cantidad[min],tb_rango_cantidad[id_rango],,-1)</f>
        <v>#N/A</v>
      </c>
      <c r="U20" s="27"/>
      <c r="V20" s="7"/>
      <c r="W20" s="23"/>
      <c r="X20" s="23"/>
      <c r="Y20" s="24"/>
      <c r="Z20" s="25"/>
      <c r="AA20" s="29"/>
    </row>
    <row r="21" spans="3:27">
      <c r="C21" s="55"/>
      <c r="D21" s="56"/>
      <c r="E21" s="56"/>
      <c r="F21" s="57"/>
      <c r="G21" s="56"/>
      <c r="H21" s="56"/>
      <c r="I21" s="56"/>
      <c r="J21" s="61"/>
      <c r="L21" s="2" t="str">
        <f>_xlfn.XLOOKUP(C21,tb_prenda[prenda],tb_prenda[id_prenda],"No encontrado")</f>
        <v>No encontrado</v>
      </c>
      <c r="M21" s="2" t="str">
        <f>_xlfn.XLOOKUP(D21,tb_contexto_precio[nombre_contexto],tb_contexto_precio[id_contexto_precio],"No encontrado")</f>
        <v>No encontrado</v>
      </c>
      <c r="N21" s="2" t="str">
        <f>_xlfn.XLOOKUP(E21,tb_tela[nombre_tela],tb_tela[id_tela],"No encontrado")</f>
        <v>No encontrado</v>
      </c>
      <c r="O21" s="2" t="str">
        <f>_xlfn.XLOOKUP(G21,tb_estilo[nombre_estilo],tb_estilo[id_estilo],"No encontrado")</f>
        <v>No encontrado</v>
      </c>
      <c r="P21" s="2" t="str">
        <f>_xlfn.XLOOKUP(H21,tb_talla[talla],tb_talla[id_talla],"No encontrado")</f>
        <v>No encontrado</v>
      </c>
      <c r="Q21" s="2" t="str">
        <f>_xlfn.XLOOKUP(I21,tb_marca[nombre_marca],tb_marca[id_marca],"No encontrado")</f>
        <v>No encontrado</v>
      </c>
      <c r="R21" s="2">
        <f t="shared" si="0"/>
        <v>0</v>
      </c>
      <c r="S21" s="2" t="e">
        <f>_xlfn.XLOOKUP(R21,tb_rango_cantidad[min],tb_rango_cantidad[id_rango],,-1)</f>
        <v>#N/A</v>
      </c>
      <c r="U21" s="27"/>
      <c r="V21" s="7"/>
      <c r="W21" s="23"/>
      <c r="X21" s="23"/>
      <c r="Y21" s="24"/>
      <c r="Z21" s="25"/>
      <c r="AA21" s="29"/>
    </row>
    <row r="22" spans="3:27">
      <c r="C22" s="55"/>
      <c r="D22" s="56"/>
      <c r="E22" s="56"/>
      <c r="F22" s="57"/>
      <c r="G22" s="56"/>
      <c r="H22" s="56"/>
      <c r="I22" s="56"/>
      <c r="J22" s="61"/>
      <c r="L22" s="2" t="str">
        <f>_xlfn.XLOOKUP(C22,tb_prenda[prenda],tb_prenda[id_prenda],"No encontrado")</f>
        <v>No encontrado</v>
      </c>
      <c r="M22" s="2" t="str">
        <f>_xlfn.XLOOKUP(D22,tb_contexto_precio[nombre_contexto],tb_contexto_precio[id_contexto_precio],"No encontrado")</f>
        <v>No encontrado</v>
      </c>
      <c r="N22" s="2" t="str">
        <f>_xlfn.XLOOKUP(E22,tb_tela[nombre_tela],tb_tela[id_tela],"No encontrado")</f>
        <v>No encontrado</v>
      </c>
      <c r="O22" s="2" t="str">
        <f>_xlfn.XLOOKUP(G22,tb_estilo[nombre_estilo],tb_estilo[id_estilo],"No encontrado")</f>
        <v>No encontrado</v>
      </c>
      <c r="P22" s="2" t="str">
        <f>_xlfn.XLOOKUP(H22,tb_talla[talla],tb_talla[id_talla],"No encontrado")</f>
        <v>No encontrado</v>
      </c>
      <c r="Q22" s="2" t="str">
        <f>_xlfn.XLOOKUP(I22,tb_marca[nombre_marca],tb_marca[id_marca],"No encontrado")</f>
        <v>No encontrado</v>
      </c>
      <c r="R22" s="2">
        <f t="shared" si="0"/>
        <v>0</v>
      </c>
      <c r="S22" s="2" t="e">
        <f>_xlfn.XLOOKUP(R22,tb_rango_cantidad[min],tb_rango_cantidad[id_rango],,-1)</f>
        <v>#N/A</v>
      </c>
      <c r="U22" s="27"/>
      <c r="V22" s="7"/>
      <c r="W22" s="23"/>
      <c r="X22" s="23"/>
      <c r="Y22" s="24"/>
      <c r="Z22" s="25"/>
      <c r="AA22" s="29"/>
    </row>
    <row r="23" spans="3:27">
      <c r="C23" s="55"/>
      <c r="D23" s="56"/>
      <c r="E23" s="56"/>
      <c r="F23" s="57"/>
      <c r="G23" s="56"/>
      <c r="H23" s="56"/>
      <c r="I23" s="56"/>
      <c r="J23" s="61"/>
      <c r="L23" s="2" t="str">
        <f>_xlfn.XLOOKUP(C23,tb_prenda[prenda],tb_prenda[id_prenda],"No encontrado")</f>
        <v>No encontrado</v>
      </c>
      <c r="M23" s="2" t="str">
        <f>_xlfn.XLOOKUP(D23,tb_contexto_precio[nombre_contexto],tb_contexto_precio[id_contexto_precio],"No encontrado")</f>
        <v>No encontrado</v>
      </c>
      <c r="N23" s="2" t="str">
        <f>_xlfn.XLOOKUP(E23,tb_tela[nombre_tela],tb_tela[id_tela],"No encontrado")</f>
        <v>No encontrado</v>
      </c>
      <c r="O23" s="2" t="str">
        <f>_xlfn.XLOOKUP(G23,tb_estilo[nombre_estilo],tb_estilo[id_estilo],"No encontrado")</f>
        <v>No encontrado</v>
      </c>
      <c r="P23" s="2" t="str">
        <f>_xlfn.XLOOKUP(H23,tb_talla[talla],tb_talla[id_talla],"No encontrado")</f>
        <v>No encontrado</v>
      </c>
      <c r="Q23" s="2" t="str">
        <f>_xlfn.XLOOKUP(I23,tb_marca[nombre_marca],tb_marca[id_marca],"No encontrado")</f>
        <v>No encontrado</v>
      </c>
      <c r="R23" s="2">
        <f t="shared" si="0"/>
        <v>0</v>
      </c>
      <c r="S23" s="2" t="e">
        <f>_xlfn.XLOOKUP(R23,tb_rango_cantidad[min],tb_rango_cantidad[id_rango],,-1)</f>
        <v>#N/A</v>
      </c>
      <c r="U23" s="27"/>
      <c r="V23" s="7"/>
      <c r="W23" s="23"/>
      <c r="X23" s="23"/>
      <c r="Y23" s="24"/>
      <c r="Z23" s="25"/>
      <c r="AA23" s="29"/>
    </row>
    <row r="24" spans="3:27">
      <c r="C24" s="55"/>
      <c r="D24" s="56"/>
      <c r="E24" s="56"/>
      <c r="F24" s="57"/>
      <c r="G24" s="56"/>
      <c r="H24" s="56"/>
      <c r="I24" s="56"/>
      <c r="J24" s="61"/>
      <c r="L24" s="2" t="str">
        <f>_xlfn.XLOOKUP(C24,tb_prenda[prenda],tb_prenda[id_prenda],"No encontrado")</f>
        <v>No encontrado</v>
      </c>
      <c r="M24" s="2" t="str">
        <f>_xlfn.XLOOKUP(D24,tb_contexto_precio[nombre_contexto],tb_contexto_precio[id_contexto_precio],"No encontrado")</f>
        <v>No encontrado</v>
      </c>
      <c r="N24" s="2" t="str">
        <f>_xlfn.XLOOKUP(E24,tb_tela[nombre_tela],tb_tela[id_tela],"No encontrado")</f>
        <v>No encontrado</v>
      </c>
      <c r="O24" s="2" t="str">
        <f>_xlfn.XLOOKUP(G24,tb_estilo[nombre_estilo],tb_estilo[id_estilo],"No encontrado")</f>
        <v>No encontrado</v>
      </c>
      <c r="P24" s="2" t="str">
        <f>_xlfn.XLOOKUP(H24,tb_talla[talla],tb_talla[id_talla],"No encontrado")</f>
        <v>No encontrado</v>
      </c>
      <c r="Q24" s="2" t="str">
        <f>_xlfn.XLOOKUP(I24,tb_marca[nombre_marca],tb_marca[id_marca],"No encontrado")</f>
        <v>No encontrado</v>
      </c>
      <c r="R24" s="2">
        <f t="shared" si="0"/>
        <v>0</v>
      </c>
      <c r="S24" s="2" t="e">
        <f>_xlfn.XLOOKUP(R24,tb_rango_cantidad[min],tb_rango_cantidad[id_rango],,-1)</f>
        <v>#N/A</v>
      </c>
      <c r="U24" s="27"/>
      <c r="V24" s="7"/>
      <c r="W24" s="23"/>
      <c r="X24" s="23"/>
      <c r="Y24" s="24"/>
      <c r="Z24" s="25"/>
      <c r="AA24" s="29"/>
    </row>
    <row r="25" spans="3:27">
      <c r="C25" s="55"/>
      <c r="D25" s="56"/>
      <c r="E25" s="56"/>
      <c r="F25" s="57"/>
      <c r="G25" s="56"/>
      <c r="H25" s="56"/>
      <c r="I25" s="56"/>
      <c r="J25" s="61"/>
      <c r="L25" s="2" t="str">
        <f>_xlfn.XLOOKUP(C25,tb_prenda[prenda],tb_prenda[id_prenda],"No encontrado")</f>
        <v>No encontrado</v>
      </c>
      <c r="M25" s="2" t="str">
        <f>_xlfn.XLOOKUP(D25,tb_contexto_precio[nombre_contexto],tb_contexto_precio[id_contexto_precio],"No encontrado")</f>
        <v>No encontrado</v>
      </c>
      <c r="N25" s="2" t="str">
        <f>_xlfn.XLOOKUP(E25,tb_tela[nombre_tela],tb_tela[id_tela],"No encontrado")</f>
        <v>No encontrado</v>
      </c>
      <c r="O25" s="2" t="str">
        <f>_xlfn.XLOOKUP(G25,tb_estilo[nombre_estilo],tb_estilo[id_estilo],"No encontrado")</f>
        <v>No encontrado</v>
      </c>
      <c r="P25" s="2" t="str">
        <f>_xlfn.XLOOKUP(H25,tb_talla[talla],tb_talla[id_talla],"No encontrado")</f>
        <v>No encontrado</v>
      </c>
      <c r="Q25" s="2" t="str">
        <f>_xlfn.XLOOKUP(I25,tb_marca[nombre_marca],tb_marca[id_marca],"No encontrado")</f>
        <v>No encontrado</v>
      </c>
      <c r="R25" s="2">
        <f t="shared" si="0"/>
        <v>0</v>
      </c>
      <c r="S25" s="2" t="e">
        <f>_xlfn.XLOOKUP(R25,tb_rango_cantidad[min],tb_rango_cantidad[id_rango],,-1)</f>
        <v>#N/A</v>
      </c>
      <c r="U25" s="27"/>
      <c r="V25" s="7"/>
      <c r="W25" s="23"/>
      <c r="X25" s="23"/>
      <c r="Y25" s="24"/>
      <c r="Z25" s="25"/>
      <c r="AA25" s="29"/>
    </row>
    <row r="26" spans="3:27">
      <c r="C26" s="58"/>
      <c r="D26" s="59"/>
      <c r="E26" s="59"/>
      <c r="F26" s="60"/>
      <c r="G26" s="59"/>
      <c r="H26" s="59"/>
      <c r="I26" s="59"/>
      <c r="J26" s="62"/>
      <c r="L26" s="2" t="str">
        <f>_xlfn.XLOOKUP(C26,tb_prenda[prenda],tb_prenda[id_prenda],"No encontrado")</f>
        <v>No encontrado</v>
      </c>
      <c r="M26" s="2" t="str">
        <f>_xlfn.XLOOKUP(D26,tb_contexto_precio[nombre_contexto],tb_contexto_precio[id_contexto_precio],"No encontrado")</f>
        <v>No encontrado</v>
      </c>
      <c r="N26" s="2" t="str">
        <f>_xlfn.XLOOKUP(E26,tb_tela[nombre_tela],tb_tela[id_tela],"No encontrado")</f>
        <v>No encontrado</v>
      </c>
      <c r="O26" s="2" t="str">
        <f>_xlfn.XLOOKUP(G26,tb_estilo[nombre_estilo],tb_estilo[id_estilo],"No encontrado")</f>
        <v>No encontrado</v>
      </c>
      <c r="P26" s="2" t="str">
        <f>_xlfn.XLOOKUP(H26,tb_talla[talla],tb_talla[id_talla],"No encontrado")</f>
        <v>No encontrado</v>
      </c>
      <c r="Q26" s="2" t="str">
        <f>_xlfn.XLOOKUP(I26,tb_marca[nombre_marca],tb_marca[id_marca],"No encontrado")</f>
        <v>No encontrado</v>
      </c>
      <c r="R26" s="2">
        <f t="shared" si="0"/>
        <v>0</v>
      </c>
      <c r="S26" s="2" t="e">
        <f>_xlfn.XLOOKUP(R26,tb_rango_cantidad[min],tb_rango_cantidad[id_rango],,-1)</f>
        <v>#N/A</v>
      </c>
      <c r="U26" s="27"/>
      <c r="V26" s="7"/>
      <c r="W26" s="23"/>
      <c r="X26" s="23"/>
      <c r="Y26" s="24"/>
      <c r="Z26" s="25"/>
      <c r="AA26" s="29"/>
    </row>
    <row r="27" spans="3:27">
      <c r="C27" s="4"/>
      <c r="D27" s="4"/>
      <c r="E27" s="4"/>
      <c r="F27" s="18"/>
      <c r="G27" s="4"/>
      <c r="H27" s="4"/>
      <c r="I27" s="4"/>
      <c r="J27" s="4"/>
      <c r="K27" s="4"/>
      <c r="L27" s="2"/>
      <c r="M27" s="2"/>
      <c r="N27" s="2"/>
      <c r="O27" s="2"/>
      <c r="P27" s="2"/>
      <c r="Q27" s="2"/>
      <c r="R27" s="2"/>
      <c r="S27" s="2"/>
      <c r="U27" s="27"/>
      <c r="V27" s="28"/>
      <c r="W27" s="28"/>
      <c r="X27" s="28"/>
      <c r="Y27" s="26" t="s">
        <v>24</v>
      </c>
      <c r="Z27" s="51">
        <f>SUM(Z7:Z11)</f>
        <v>161</v>
      </c>
      <c r="AA27" s="29"/>
    </row>
    <row r="28" spans="3:27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U28" s="30"/>
      <c r="V28" s="31"/>
      <c r="W28" s="31"/>
      <c r="X28" s="31"/>
      <c r="Y28" s="31"/>
      <c r="Z28" s="31"/>
      <c r="AA28" s="32"/>
    </row>
    <row r="29" spans="3:27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3:27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3:27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3:27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3:13"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</sheetData>
  <mergeCells count="1">
    <mergeCell ref="U4:AA4"/>
  </mergeCells>
  <dataValidations count="98">
    <dataValidation type="list" allowBlank="1" showInputMessage="1" showErrorMessage="1" sqref="D7:D26" xr:uid="{C60C1C11-E929-45BC-86C8-C791C95D0919}">
      <formula1>INDIRECT("tb_contexto_precio[nombre_contexto]")</formula1>
    </dataValidation>
    <dataValidation type="list" allowBlank="1" showInputMessage="1" showErrorMessage="1" sqref="E11" xr:uid="{BB866DB6-6D39-4764-A148-811DC5F09BD3}">
      <formula1>Lista_Telas5</formula1>
    </dataValidation>
    <dataValidation type="list" allowBlank="1" showInputMessage="1" showErrorMessage="1" sqref="F11" xr:uid="{77E292FA-F762-4F00-8AA7-37F84963AF64}">
      <formula1>Lista_Colores5</formula1>
    </dataValidation>
    <dataValidation type="list" allowBlank="1" showInputMessage="1" showErrorMessage="1" sqref="G11" xr:uid="{8C3DF3D6-9111-47FA-993F-52D7D9D4EA73}">
      <formula1>Lista_Estilos5</formula1>
    </dataValidation>
    <dataValidation type="list" allowBlank="1" showInputMessage="1" showErrorMessage="1" sqref="H11" xr:uid="{97A3478E-AC1F-4DA3-9C96-244270AB7687}">
      <formula1>Lista_Tallas5</formula1>
    </dataValidation>
    <dataValidation type="list" allowBlank="1" showInputMessage="1" showErrorMessage="1" sqref="E7" xr:uid="{E94B8483-D4F0-4E48-9A49-D3A2972857E4}">
      <formula1>Lista_Telas1</formula1>
    </dataValidation>
    <dataValidation type="list" allowBlank="1" showInputMessage="1" showErrorMessage="1" sqref="E8:E9" xr:uid="{7E89005A-9064-41FD-B978-95BF5F0EC288}">
      <formula1>Lista_Telas2</formula1>
    </dataValidation>
    <dataValidation type="list" allowBlank="1" showInputMessage="1" showErrorMessage="1" sqref="E10" xr:uid="{6B034BAA-C83E-4AD6-B490-B92C68725F83}">
      <formula1>Lista_Telas4</formula1>
    </dataValidation>
    <dataValidation type="list" allowBlank="1" showInputMessage="1" showErrorMessage="1" sqref="F7" xr:uid="{6886007B-A2EE-4ABA-A394-3AF6ABCE02FB}">
      <formula1>Lista_Colores1</formula1>
    </dataValidation>
    <dataValidation type="list" allowBlank="1" showInputMessage="1" showErrorMessage="1" sqref="F8:F9" xr:uid="{8F1041D4-B574-418A-A776-EF278F36783D}">
      <formula1>Lista_Colores2</formula1>
    </dataValidation>
    <dataValidation type="list" allowBlank="1" showInputMessage="1" showErrorMessage="1" sqref="F10" xr:uid="{6235DB11-E713-4308-B59E-9AA6ECE6B172}">
      <formula1>Lista_Colores4</formula1>
    </dataValidation>
    <dataValidation type="list" allowBlank="1" showInputMessage="1" showErrorMessage="1" sqref="G7" xr:uid="{E0822839-9885-4D9F-AC1D-DE297980CD4A}">
      <formula1>Lista_Estilos1</formula1>
    </dataValidation>
    <dataValidation type="list" allowBlank="1" showInputMessage="1" showErrorMessage="1" sqref="G8:G9" xr:uid="{E3B22898-BF84-4735-A761-FB47F040B9E6}">
      <formula1>Lista_Estilos2</formula1>
    </dataValidation>
    <dataValidation type="list" allowBlank="1" showInputMessage="1" showErrorMessage="1" sqref="G10" xr:uid="{902C2DAB-3FE2-45C3-A24B-A07357E65B93}">
      <formula1>Lista_Estilos4</formula1>
    </dataValidation>
    <dataValidation type="list" allowBlank="1" showInputMessage="1" showErrorMessage="1" sqref="H7" xr:uid="{FE20FE13-5AAB-4429-9862-98B71BCB5313}">
      <formula1>Lista_Tallas1</formula1>
    </dataValidation>
    <dataValidation type="list" allowBlank="1" showInputMessage="1" showErrorMessage="1" sqref="H8:H9" xr:uid="{7AB332EE-1E64-4583-8475-1C4FB3B68895}">
      <formula1>Lista_Tallas2</formula1>
    </dataValidation>
    <dataValidation type="list" allowBlank="1" showInputMessage="1" showErrorMessage="1" sqref="H10" xr:uid="{D9298450-0379-45FA-B5E4-9A2B5024A712}">
      <formula1>Lista_Tallas4</formula1>
    </dataValidation>
    <dataValidation type="list" allowBlank="1" showInputMessage="1" showErrorMessage="1" sqref="I7" xr:uid="{DB06E439-226E-43BF-B9E9-4066969643E3}">
      <formula1>Lista_Marca1</formula1>
    </dataValidation>
    <dataValidation type="list" allowBlank="1" showInputMessage="1" showErrorMessage="1" sqref="I8:I9" xr:uid="{1ECFF1FE-B6AE-40A3-A087-7429AA6F47E4}">
      <formula1>Lista_Marca2</formula1>
    </dataValidation>
    <dataValidation type="list" allowBlank="1" showInputMessage="1" showErrorMessage="1" sqref="I10" xr:uid="{04DAC689-07E4-4C95-9A1F-B96CD01A40DF}">
      <formula1>Lista_Marca4</formula1>
    </dataValidation>
    <dataValidation type="list" allowBlank="1" showInputMessage="1" showErrorMessage="1" sqref="D10 C7:C26" xr:uid="{EC67C0DE-C81D-422B-AF83-5D87C17232D1}">
      <formula1>INDIRECT("tb_prenda[prenda]")</formula1>
    </dataValidation>
    <dataValidation type="list" allowBlank="1" showInputMessage="1" showErrorMessage="1" sqref="I11" xr:uid="{9E4F08F4-8DD7-4C55-8D9F-3BAA249CF587}">
      <formula1>Lista_Marca5</formula1>
    </dataValidation>
    <dataValidation allowBlank="1" showInputMessage="1" showErrorMessage="1" sqref="J12" xr:uid="{AF57DD74-5C4C-4189-A624-FC54B946C057}"/>
    <dataValidation type="list" allowBlank="1" showInputMessage="1" showErrorMessage="1" sqref="E12" xr:uid="{EA93CD7D-0678-4CCA-8708-8B1ADD7C2DE3}">
      <formula1>Lista_Telas6</formula1>
    </dataValidation>
    <dataValidation type="list" allowBlank="1" showInputMessage="1" showErrorMessage="1" sqref="F12" xr:uid="{CE7BCBE1-3E8F-4C24-B327-029B74FFE0D9}">
      <formula1>Lista_Colores6</formula1>
    </dataValidation>
    <dataValidation type="list" allowBlank="1" showInputMessage="1" showErrorMessage="1" sqref="G12" xr:uid="{4F6D3554-3671-4C72-99FB-6E88AFE19CCD}">
      <formula1>Lista_Estilos6</formula1>
    </dataValidation>
    <dataValidation type="list" allowBlank="1" showInputMessage="1" showErrorMessage="1" sqref="H12" xr:uid="{6450E216-BF00-4FD9-A04C-83E9E43866DF}">
      <formula1>Lista_Tallas6</formula1>
    </dataValidation>
    <dataValidation type="list" allowBlank="1" showInputMessage="1" showErrorMessage="1" sqref="I12" xr:uid="{8B226BD1-8916-473C-A6CC-F5C53C0C6003}">
      <formula1>Lista_Marca6</formula1>
    </dataValidation>
    <dataValidation type="list" allowBlank="1" showInputMessage="1" showErrorMessage="1" sqref="E13" xr:uid="{5DD7BDD7-EBF7-4798-A99A-7E6B75EAB533}">
      <formula1>Lista_Telas7</formula1>
    </dataValidation>
    <dataValidation type="list" allowBlank="1" showInputMessage="1" showErrorMessage="1" sqref="F13" xr:uid="{7ED6B563-B436-4CA1-A2CE-99E073372ED0}">
      <formula1>Lista_Colores7</formula1>
    </dataValidation>
    <dataValidation type="list" allowBlank="1" showInputMessage="1" showErrorMessage="1" sqref="G13" xr:uid="{992E870C-CE7C-4B2D-B0A6-C1325A410713}">
      <formula1>Lista_Estilos7</formula1>
    </dataValidation>
    <dataValidation type="list" allowBlank="1" showInputMessage="1" showErrorMessage="1" sqref="H13" xr:uid="{71FDFB5F-3891-4F85-BD4E-8465428472B1}">
      <formula1>Lista_Tallas7</formula1>
    </dataValidation>
    <dataValidation type="list" allowBlank="1" showInputMessage="1" showErrorMessage="1" sqref="I13" xr:uid="{EC95ED1C-7B88-441F-8C6C-649375D708B0}">
      <formula1>Lista_Marca7</formula1>
    </dataValidation>
    <dataValidation type="list" allowBlank="1" showInputMessage="1" showErrorMessage="1" sqref="E14" xr:uid="{E8EEBADA-C910-4ED1-993F-3E61946F0908}">
      <formula1>Lista_Telas8</formula1>
    </dataValidation>
    <dataValidation type="list" allowBlank="1" showInputMessage="1" showErrorMessage="1" sqref="E15" xr:uid="{CBCBEB74-FEF9-4C19-B7E3-BC263799E626}">
      <formula1>Lista_Telas9</formula1>
    </dataValidation>
    <dataValidation type="list" allowBlank="1" showInputMessage="1" showErrorMessage="1" sqref="E16" xr:uid="{B78E9604-1E2A-4A34-8592-8A1E25EC9921}">
      <formula1>Lista_Telas10</formula1>
    </dataValidation>
    <dataValidation type="list" allowBlank="1" showInputMessage="1" showErrorMessage="1" sqref="E17" xr:uid="{EDD042BF-753E-4664-AB0E-17AFF0411D5C}">
      <formula1>Lista_Telas11</formula1>
    </dataValidation>
    <dataValidation type="list" allowBlank="1" showInputMessage="1" showErrorMessage="1" sqref="E18" xr:uid="{6BB89082-F720-448A-88F8-F71B86F980DA}">
      <formula1>Lista_Telas12</formula1>
    </dataValidation>
    <dataValidation type="list" allowBlank="1" showInputMessage="1" showErrorMessage="1" sqref="E19" xr:uid="{378D8559-1922-403F-8E4F-98A0B240493A}">
      <formula1>Lista_Telas13</formula1>
    </dataValidation>
    <dataValidation type="list" allowBlank="1" showInputMessage="1" showErrorMessage="1" sqref="E20" xr:uid="{2499464A-ADD6-489F-A8EA-718491B2F542}">
      <formula1>Lista_Telas14</formula1>
    </dataValidation>
    <dataValidation type="list" allowBlank="1" showInputMessage="1" showErrorMessage="1" sqref="E21" xr:uid="{81CE1A13-54CE-4F69-957B-3F1A712AFB23}">
      <formula1>Lista_Telas15</formula1>
    </dataValidation>
    <dataValidation type="list" allowBlank="1" showInputMessage="1" showErrorMessage="1" sqref="E22" xr:uid="{3EE2281B-EB6D-4408-A125-3B2027E49AC5}">
      <formula1>Lista_Telas16</formula1>
    </dataValidation>
    <dataValidation type="list" allowBlank="1" showInputMessage="1" showErrorMessage="1" sqref="E23" xr:uid="{EB493914-55CB-4600-B3BF-525276D770D8}">
      <formula1>Lista_Telas17</formula1>
    </dataValidation>
    <dataValidation type="list" allowBlank="1" showInputMessage="1" showErrorMessage="1" sqref="E24" xr:uid="{0F582000-69BE-4280-9EB9-027A79DF5EBB}">
      <formula1>Lista_Telas18</formula1>
    </dataValidation>
    <dataValidation type="list" allowBlank="1" showInputMessage="1" showErrorMessage="1" sqref="E25" xr:uid="{539F0B70-136D-4E8C-8A3B-B1C44B0E6E62}">
      <formula1>Lista_Telas19</formula1>
    </dataValidation>
    <dataValidation type="list" allowBlank="1" showInputMessage="1" showErrorMessage="1" sqref="E26" xr:uid="{7924A793-8C9F-4F82-A542-DBAF8E808C18}">
      <formula1>Lista_Telas20</formula1>
    </dataValidation>
    <dataValidation type="list" allowBlank="1" showInputMessage="1" showErrorMessage="1" sqref="F14" xr:uid="{A83EF664-E6EF-4FF8-AB9E-4FBF52E847F6}">
      <formula1>Lista_Colores8</formula1>
    </dataValidation>
    <dataValidation type="list" allowBlank="1" showInputMessage="1" showErrorMessage="1" sqref="F15" xr:uid="{AD2CCFBA-8E9D-4CD5-BDDD-4DB40C5BAA0F}">
      <formula1>Lista_Colores9</formula1>
    </dataValidation>
    <dataValidation type="list" allowBlank="1" showInputMessage="1" showErrorMessage="1" sqref="F16" xr:uid="{54B9747E-A8FE-4C56-90B6-CA17789F17E5}">
      <formula1>Lista_Colores10</formula1>
    </dataValidation>
    <dataValidation type="list" allowBlank="1" showInputMessage="1" showErrorMessage="1" sqref="F17" xr:uid="{DFC42E22-6E7A-4D10-92E3-3B4884C382A7}">
      <formula1>Lista_Colores11</formula1>
    </dataValidation>
    <dataValidation type="list" allowBlank="1" showInputMessage="1" showErrorMessage="1" sqref="F18" xr:uid="{C97FAAF5-A113-4ED3-9B59-7D1052355E43}">
      <formula1>Lista_Colores12</formula1>
    </dataValidation>
    <dataValidation type="list" allowBlank="1" showInputMessage="1" showErrorMessage="1" sqref="F19" xr:uid="{AC1D1BC4-23B6-4A76-AFAF-8BF0F5494B3B}">
      <formula1>Lista_Colores13</formula1>
    </dataValidation>
    <dataValidation type="list" allowBlank="1" showInputMessage="1" showErrorMessage="1" sqref="F20" xr:uid="{A0BF5F7A-9A0F-47CB-9386-FA13CDB06EBA}">
      <formula1>Lista_Colores14</formula1>
    </dataValidation>
    <dataValidation type="list" allowBlank="1" showInputMessage="1" showErrorMessage="1" sqref="F21" xr:uid="{98BF22D9-FC12-49D3-BE05-0817A6E6C24C}">
      <formula1>Lista_Colores15</formula1>
    </dataValidation>
    <dataValidation type="list" allowBlank="1" showInputMessage="1" showErrorMessage="1" sqref="F22" xr:uid="{49C8AC4A-71F5-4E5B-ADBE-E2C8EFE3EA53}">
      <formula1>Lista_Colores16</formula1>
    </dataValidation>
    <dataValidation type="list" allowBlank="1" showInputMessage="1" showErrorMessage="1" sqref="F23" xr:uid="{0D683BD6-14A6-496E-BB0D-4CCD79C66AB4}">
      <formula1>Lista_Colores17</formula1>
    </dataValidation>
    <dataValidation type="list" allowBlank="1" showInputMessage="1" showErrorMessage="1" sqref="F24" xr:uid="{3CE23BFA-A03B-4947-8CF5-C5FC8057EBD7}">
      <formula1>Lista_Colores18</formula1>
    </dataValidation>
    <dataValidation type="list" allowBlank="1" showInputMessage="1" showErrorMessage="1" sqref="F25" xr:uid="{2F3B7663-4A60-4381-80D5-2C42FA4AEB91}">
      <formula1>Lista_Colores19</formula1>
    </dataValidation>
    <dataValidation type="list" allowBlank="1" showInputMessage="1" showErrorMessage="1" sqref="F26" xr:uid="{C3C45DF6-79BD-43E0-A2AB-175E50B0FC0C}">
      <formula1>Lista_Colores20</formula1>
    </dataValidation>
    <dataValidation type="list" allowBlank="1" showInputMessage="1" showErrorMessage="1" sqref="G14" xr:uid="{DD6ED6D1-9565-44F0-A648-41B6208829F1}">
      <formula1>Lista_Estilos8</formula1>
    </dataValidation>
    <dataValidation type="list" allowBlank="1" showInputMessage="1" showErrorMessage="1" sqref="G15" xr:uid="{702AAAFE-77BC-4D12-9389-F88F38CE95B0}">
      <formula1>Lista_Estilos9</formula1>
    </dataValidation>
    <dataValidation type="list" allowBlank="1" showInputMessage="1" showErrorMessage="1" sqref="G16" xr:uid="{CE2EAAE3-0EAC-41BC-9CA4-0C6FD673850D}">
      <formula1>Lista_Estilos10</formula1>
    </dataValidation>
    <dataValidation type="list" allowBlank="1" showInputMessage="1" showErrorMessage="1" sqref="G17" xr:uid="{1A5DF6AA-FBD0-4F3C-88A1-4B9FDBD088A6}">
      <formula1>Lista_Estilos11</formula1>
    </dataValidation>
    <dataValidation type="list" allowBlank="1" showInputMessage="1" showErrorMessage="1" sqref="G18" xr:uid="{837C890E-7AB9-4E36-8779-83998E9B0FEB}">
      <formula1>Lista_Estilos12</formula1>
    </dataValidation>
    <dataValidation type="list" allowBlank="1" showInputMessage="1" showErrorMessage="1" sqref="G19" xr:uid="{175A72EE-3FC5-4220-BB72-9555A7174778}">
      <formula1>Lista_Estilos13</formula1>
    </dataValidation>
    <dataValidation type="list" allowBlank="1" showInputMessage="1" showErrorMessage="1" sqref="G20" xr:uid="{1699A5B0-8BB3-46BD-98D3-8EC1D93433DA}">
      <formula1>Lista_Estilos14</formula1>
    </dataValidation>
    <dataValidation type="list" allowBlank="1" showInputMessage="1" showErrorMessage="1" sqref="G21" xr:uid="{ADDA8F8E-951A-452C-93DF-21A77292DE63}">
      <formula1>Lista_Estilos15</formula1>
    </dataValidation>
    <dataValidation type="list" allowBlank="1" showInputMessage="1" showErrorMessage="1" sqref="G22" xr:uid="{A1B197BB-1713-446B-9E75-51DF671CF9D1}">
      <formula1>Lista_Estilos16</formula1>
    </dataValidation>
    <dataValidation type="list" allowBlank="1" showInputMessage="1" showErrorMessage="1" sqref="G23" xr:uid="{0F17F5D3-9C26-473B-A9D6-C058606A1DCA}">
      <formula1>Lista_Estilos17</formula1>
    </dataValidation>
    <dataValidation type="list" allowBlank="1" showInputMessage="1" showErrorMessage="1" sqref="G24" xr:uid="{6ABC4564-BF95-484D-B6FB-C5D262B09211}">
      <formula1>Lista_Estilos18</formula1>
    </dataValidation>
    <dataValidation type="list" allowBlank="1" showInputMessage="1" showErrorMessage="1" sqref="G25" xr:uid="{40011030-AC8D-43EA-A41A-A713CAD84986}">
      <formula1>Lista_Estilos19</formula1>
    </dataValidation>
    <dataValidation type="list" allowBlank="1" showInputMessage="1" showErrorMessage="1" sqref="G26" xr:uid="{EBD88A12-53B5-48D6-9826-242D16D3C55F}">
      <formula1>Lista_Estilos20</formula1>
    </dataValidation>
    <dataValidation type="list" allowBlank="1" showInputMessage="1" showErrorMessage="1" sqref="H14" xr:uid="{D4B0E64E-2879-4B9B-85EB-098AD04D6B77}">
      <formula1>Lista_Tallas8</formula1>
    </dataValidation>
    <dataValidation type="list" allowBlank="1" showInputMessage="1" showErrorMessage="1" sqref="H15" xr:uid="{32B24EDF-76C2-41F9-8C20-724AAE55EB14}">
      <formula1>Lista_Tallas9</formula1>
    </dataValidation>
    <dataValidation type="list" allowBlank="1" showInputMessage="1" showErrorMessage="1" sqref="H16" xr:uid="{A1407DF6-55E6-4E64-8ABC-E3B6E378A470}">
      <formula1>Lista_Tallas10</formula1>
    </dataValidation>
    <dataValidation type="list" allowBlank="1" showInputMessage="1" showErrorMessage="1" sqref="H17" xr:uid="{A97152F6-061D-4567-8A97-057EEAB096AD}">
      <formula1>Lista_Tallas11</formula1>
    </dataValidation>
    <dataValidation type="list" allowBlank="1" showInputMessage="1" showErrorMessage="1" sqref="H18" xr:uid="{574D9286-312D-432E-AE00-ECF84B446A93}">
      <formula1>Lista_Tallas12</formula1>
    </dataValidation>
    <dataValidation type="list" allowBlank="1" showInputMessage="1" showErrorMessage="1" sqref="H19" xr:uid="{3AF9E7A5-1B35-4905-ACB9-8ADBF40B2DDB}">
      <formula1>Lista_Tallas13</formula1>
    </dataValidation>
    <dataValidation type="list" allowBlank="1" showInputMessage="1" showErrorMessage="1" sqref="H20" xr:uid="{4731E251-D795-4B55-8B06-C075875F7863}">
      <formula1>Lista_Tallas14</formula1>
    </dataValidation>
    <dataValidation type="list" allowBlank="1" showInputMessage="1" showErrorMessage="1" sqref="H21" xr:uid="{4B568C1C-3FCD-4A6B-B8FB-B6E97650CA91}">
      <formula1>Lista_Tallas15</formula1>
    </dataValidation>
    <dataValidation type="list" allowBlank="1" showInputMessage="1" showErrorMessage="1" sqref="H22" xr:uid="{C71CABB0-E10B-4903-88C1-69EBAF5BCC4D}">
      <formula1>Lista_Tallas16</formula1>
    </dataValidation>
    <dataValidation type="list" allowBlank="1" showInputMessage="1" showErrorMessage="1" sqref="H23" xr:uid="{139A5DB3-E900-4915-B19B-7907C91DA908}">
      <formula1>Lista_Tallas17</formula1>
    </dataValidation>
    <dataValidation type="list" allowBlank="1" showInputMessage="1" showErrorMessage="1" sqref="H24" xr:uid="{B7C5C1B5-6729-43AB-B473-8DA4A6E90F38}">
      <formula1>Lista_Tallas18</formula1>
    </dataValidation>
    <dataValidation type="list" allowBlank="1" showInputMessage="1" showErrorMessage="1" sqref="H25" xr:uid="{9DF01DB1-04B4-47ED-815D-30A501E1D63C}">
      <formula1>Lista_Tallas19</formula1>
    </dataValidation>
    <dataValidation type="list" allowBlank="1" showInputMessage="1" showErrorMessage="1" sqref="H26" xr:uid="{EB47D6FF-F227-466F-9119-0A3539B67311}">
      <formula1>Lista_Tallas20</formula1>
    </dataValidation>
    <dataValidation type="list" allowBlank="1" showInputMessage="1" showErrorMessage="1" sqref="I14" xr:uid="{8C4E0AA3-2630-4517-98DB-7127045881BA}">
      <formula1>Lista_Marca8</formula1>
    </dataValidation>
    <dataValidation type="list" allowBlank="1" showInputMessage="1" showErrorMessage="1" sqref="I15" xr:uid="{7CC5E03F-0FCF-4A0A-8F4D-347EC86AF8CD}">
      <formula1>Lista_Marca9</formula1>
    </dataValidation>
    <dataValidation type="list" allowBlank="1" showInputMessage="1" showErrorMessage="1" sqref="I16" xr:uid="{46993F6A-0A75-4F2C-9DAA-2F2AE4CF48E1}">
      <formula1>Lista_Marca10</formula1>
    </dataValidation>
    <dataValidation type="list" allowBlank="1" showInputMessage="1" showErrorMessage="1" sqref="I17" xr:uid="{83174661-0447-4881-88CA-DD281D8E26B8}">
      <formula1>Lista_Marca11</formula1>
    </dataValidation>
    <dataValidation type="list" allowBlank="1" showInputMessage="1" showErrorMessage="1" sqref="I18" xr:uid="{70AE6A99-863D-4593-A978-F1EBA12A5703}">
      <formula1>Lista_Marca12</formula1>
    </dataValidation>
    <dataValidation type="list" allowBlank="1" showInputMessage="1" showErrorMessage="1" sqref="I19" xr:uid="{C154373D-C9E8-4F5D-BB6F-0125B135568C}">
      <formula1>Lista_Marca13</formula1>
    </dataValidation>
    <dataValidation type="list" allowBlank="1" showInputMessage="1" showErrorMessage="1" sqref="I20" xr:uid="{33038CFA-4A0A-4812-A3AA-C3A9EC3FED25}">
      <formula1>Lista_Marca14</formula1>
    </dataValidation>
    <dataValidation type="list" allowBlank="1" showInputMessage="1" showErrorMessage="1" sqref="I21" xr:uid="{096DD1B5-AC90-457F-A1DD-CF14613ABC3F}">
      <formula1>Lista_Marca15</formula1>
    </dataValidation>
    <dataValidation type="list" allowBlank="1" showInputMessage="1" showErrorMessage="1" sqref="I22" xr:uid="{A01A8736-83F7-4E82-AB1B-31A9D671F631}">
      <formula1>Lista_Marca16</formula1>
    </dataValidation>
    <dataValidation type="list" allowBlank="1" showInputMessage="1" showErrorMessage="1" sqref="I23" xr:uid="{02021D3C-CBBE-4E43-BB2A-D47E2C991B43}">
      <formula1>Lista_Marca17</formula1>
    </dataValidation>
    <dataValidation type="list" allowBlank="1" showInputMessage="1" showErrorMessage="1" sqref="I24" xr:uid="{0C15B123-A977-4481-BFDA-5D3728452C8C}">
      <formula1>Lista_Marca18</formula1>
    </dataValidation>
    <dataValidation type="list" allowBlank="1" showInputMessage="1" showErrorMessage="1" sqref="I25" xr:uid="{48F25E4B-AE59-4535-89F3-02095498DA3E}">
      <formula1>Lista_Marca19</formula1>
    </dataValidation>
    <dataValidation type="list" allowBlank="1" showInputMessage="1" showErrorMessage="1" sqref="I26" xr:uid="{EF0627C1-336C-47CA-9C92-BE3D69344755}">
      <formula1>Lista_Marca20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A46E-2155-460D-8E58-2C6F0DC330D6}">
  <sheetPr>
    <tabColor theme="7" tint="-0.249977111117893"/>
  </sheetPr>
  <dimension ref="A1:P298"/>
  <sheetViews>
    <sheetView topLeftCell="A165" workbookViewId="0">
      <selection activeCell="P189" sqref="P189"/>
    </sheetView>
  </sheetViews>
  <sheetFormatPr defaultRowHeight="15"/>
  <cols>
    <col min="1" max="1" width="18.85546875" bestFit="1" customWidth="1"/>
    <col min="2" max="2" width="8" customWidth="1"/>
    <col min="3" max="3" width="24.85546875" customWidth="1"/>
    <col min="4" max="4" width="13" bestFit="1" customWidth="1"/>
    <col min="5" max="5" width="20.140625" customWidth="1"/>
    <col min="6" max="6" width="19.7109375" customWidth="1"/>
    <col min="7" max="7" width="8.42578125" customWidth="1"/>
    <col min="8" max="8" width="9.85546875" customWidth="1"/>
    <col min="9" max="9" width="9.28515625" customWidth="1"/>
    <col min="10" max="10" width="16.42578125" bestFit="1" customWidth="1"/>
    <col min="11" max="11" width="16.42578125" customWidth="1"/>
    <col min="12" max="12" width="13.7109375" customWidth="1"/>
    <col min="13" max="13" width="11.7109375" customWidth="1"/>
    <col min="14" max="14" width="9.5703125" customWidth="1"/>
    <col min="15" max="15" width="17.140625" customWidth="1"/>
    <col min="16" max="16" width="11.7109375" customWidth="1"/>
  </cols>
  <sheetData>
    <row r="1" spans="1:16">
      <c r="A1" s="22"/>
      <c r="B1" s="22"/>
      <c r="C1" s="22"/>
      <c r="D1" s="22"/>
      <c r="E1" s="22"/>
      <c r="F1" s="22"/>
      <c r="G1" s="22"/>
      <c r="H1" s="22"/>
      <c r="J1" s="22"/>
      <c r="K1" s="22"/>
      <c r="P1" s="22"/>
    </row>
    <row r="2" spans="1:16">
      <c r="A2" s="22"/>
      <c r="B2" s="44" t="s">
        <v>126</v>
      </c>
      <c r="C2" s="44" t="s">
        <v>127</v>
      </c>
      <c r="D2" s="44" t="s">
        <v>128</v>
      </c>
      <c r="E2" s="44" t="s">
        <v>129</v>
      </c>
      <c r="F2" s="44" t="s">
        <v>130</v>
      </c>
      <c r="G2" s="44" t="s">
        <v>24</v>
      </c>
      <c r="H2" s="44" t="s">
        <v>131</v>
      </c>
      <c r="I2" s="44" t="s">
        <v>132</v>
      </c>
      <c r="J2" s="44" t="s">
        <v>133</v>
      </c>
      <c r="K2" s="44" t="s">
        <v>134</v>
      </c>
      <c r="L2" s="44" t="s">
        <v>135</v>
      </c>
      <c r="M2" s="45" t="s">
        <v>136</v>
      </c>
      <c r="N2" s="45" t="s">
        <v>137</v>
      </c>
      <c r="O2" s="45" t="s">
        <v>138</v>
      </c>
      <c r="P2" s="45" t="s">
        <v>139</v>
      </c>
    </row>
    <row r="3" spans="1:16">
      <c r="A3" s="38"/>
      <c r="B3" s="37">
        <v>1</v>
      </c>
      <c r="C3" s="2" t="s">
        <v>140</v>
      </c>
      <c r="D3" s="35" t="s">
        <v>141</v>
      </c>
      <c r="E3" s="36">
        <v>45799</v>
      </c>
      <c r="F3" s="39" t="s">
        <v>142</v>
      </c>
      <c r="G3" s="35">
        <v>326</v>
      </c>
      <c r="H3" s="35">
        <v>163</v>
      </c>
      <c r="I3" s="35">
        <v>163</v>
      </c>
      <c r="J3" s="47">
        <v>45803</v>
      </c>
      <c r="K3" s="47"/>
      <c r="L3" s="2"/>
      <c r="M3" s="41" t="b">
        <v>0</v>
      </c>
      <c r="N3" s="41" t="b">
        <v>0</v>
      </c>
      <c r="O3" s="41" t="b">
        <v>0</v>
      </c>
      <c r="P3" s="41" t="b">
        <v>1</v>
      </c>
    </row>
    <row r="4" spans="1:16">
      <c r="A4" s="38"/>
      <c r="B4" s="37">
        <v>2</v>
      </c>
      <c r="C4" s="2" t="s">
        <v>140</v>
      </c>
      <c r="D4" s="35" t="s">
        <v>143</v>
      </c>
      <c r="E4" s="36">
        <v>45799</v>
      </c>
      <c r="F4" s="39" t="s">
        <v>144</v>
      </c>
      <c r="G4" s="35">
        <v>176</v>
      </c>
      <c r="H4" s="35">
        <v>88</v>
      </c>
      <c r="I4" s="35">
        <v>88</v>
      </c>
      <c r="J4" s="47">
        <v>45803</v>
      </c>
      <c r="K4" s="47"/>
      <c r="L4" s="41" t="b">
        <v>0</v>
      </c>
      <c r="M4" s="41" t="b">
        <v>0</v>
      </c>
      <c r="N4" s="41" t="b">
        <v>0</v>
      </c>
      <c r="O4" s="41" t="b">
        <v>0</v>
      </c>
      <c r="P4" s="41" t="b">
        <v>1</v>
      </c>
    </row>
    <row r="5" spans="1:16">
      <c r="A5" s="38"/>
      <c r="B5" s="37">
        <v>3</v>
      </c>
      <c r="C5" s="2" t="s">
        <v>140</v>
      </c>
      <c r="D5" s="35" t="s">
        <v>145</v>
      </c>
      <c r="E5" s="36">
        <v>45799</v>
      </c>
      <c r="F5" s="39" t="s">
        <v>142</v>
      </c>
      <c r="G5" s="35">
        <v>288</v>
      </c>
      <c r="H5" s="35">
        <v>150</v>
      </c>
      <c r="I5" s="35">
        <v>138</v>
      </c>
      <c r="J5" s="47">
        <v>45801</v>
      </c>
      <c r="K5" s="47"/>
      <c r="L5" s="2"/>
      <c r="M5" s="41" t="b">
        <v>0</v>
      </c>
      <c r="N5" s="41" t="b">
        <v>0</v>
      </c>
      <c r="O5" s="41" t="b">
        <v>0</v>
      </c>
      <c r="P5" s="41" t="b">
        <v>1</v>
      </c>
    </row>
    <row r="6" spans="1:16">
      <c r="A6" s="38"/>
      <c r="B6" s="37">
        <v>4</v>
      </c>
      <c r="C6" s="2" t="s">
        <v>140</v>
      </c>
      <c r="D6" s="35" t="s">
        <v>146</v>
      </c>
      <c r="E6" s="36">
        <v>45799</v>
      </c>
      <c r="F6" s="39" t="s">
        <v>142</v>
      </c>
      <c r="G6" s="35">
        <v>318</v>
      </c>
      <c r="H6" s="35">
        <v>150</v>
      </c>
      <c r="I6" s="35">
        <v>168</v>
      </c>
      <c r="J6" s="47">
        <v>45803</v>
      </c>
      <c r="K6" s="47"/>
      <c r="L6" s="2"/>
      <c r="M6" s="41" t="b">
        <v>0</v>
      </c>
      <c r="N6" s="41" t="b">
        <v>0</v>
      </c>
      <c r="O6" s="41" t="b">
        <v>0</v>
      </c>
      <c r="P6" s="41" t="b">
        <v>1</v>
      </c>
    </row>
    <row r="7" spans="1:16">
      <c r="A7" s="38"/>
      <c r="B7" s="37">
        <v>5</v>
      </c>
      <c r="C7" s="2" t="s">
        <v>140</v>
      </c>
      <c r="D7" s="35" t="s">
        <v>147</v>
      </c>
      <c r="E7" s="36">
        <v>45799</v>
      </c>
      <c r="F7" s="39" t="s">
        <v>142</v>
      </c>
      <c r="G7" s="35">
        <v>130</v>
      </c>
      <c r="H7" s="35">
        <v>65</v>
      </c>
      <c r="I7" s="35">
        <v>65</v>
      </c>
      <c r="J7" s="47">
        <v>45803</v>
      </c>
      <c r="K7" s="47"/>
      <c r="L7" s="2"/>
      <c r="M7" s="41" t="b">
        <v>0</v>
      </c>
      <c r="N7" s="41" t="b">
        <v>0</v>
      </c>
      <c r="O7" s="41" t="b">
        <v>0</v>
      </c>
      <c r="P7" s="41" t="b">
        <v>1</v>
      </c>
    </row>
    <row r="8" spans="1:16">
      <c r="A8" s="38"/>
      <c r="B8" s="37">
        <v>6</v>
      </c>
      <c r="C8" s="2" t="s">
        <v>140</v>
      </c>
      <c r="D8" s="35" t="s">
        <v>148</v>
      </c>
      <c r="E8" s="36">
        <v>45799</v>
      </c>
      <c r="F8" s="39" t="s">
        <v>144</v>
      </c>
      <c r="G8" s="35">
        <v>264</v>
      </c>
      <c r="H8" s="35">
        <v>132</v>
      </c>
      <c r="I8" s="35">
        <v>132</v>
      </c>
      <c r="J8" s="47">
        <v>45801</v>
      </c>
      <c r="K8" s="47"/>
      <c r="L8" s="41" t="b">
        <v>0</v>
      </c>
      <c r="M8" s="41" t="b">
        <v>0</v>
      </c>
      <c r="N8" s="41" t="b">
        <v>0</v>
      </c>
      <c r="O8" s="41" t="b">
        <v>0</v>
      </c>
      <c r="P8" s="41" t="b">
        <v>1</v>
      </c>
    </row>
    <row r="9" spans="1:16">
      <c r="A9" s="38"/>
      <c r="B9" s="37">
        <v>7</v>
      </c>
      <c r="C9" s="2" t="s">
        <v>140</v>
      </c>
      <c r="D9" s="35" t="s">
        <v>149</v>
      </c>
      <c r="E9" s="36">
        <v>45799</v>
      </c>
      <c r="F9" s="39" t="s">
        <v>142</v>
      </c>
      <c r="G9" s="35">
        <v>54</v>
      </c>
      <c r="H9" s="35">
        <v>30</v>
      </c>
      <c r="I9" s="35">
        <v>24</v>
      </c>
      <c r="J9" s="47">
        <v>45801</v>
      </c>
      <c r="K9" s="47"/>
      <c r="L9" s="2"/>
      <c r="M9" s="41" t="b">
        <v>0</v>
      </c>
      <c r="N9" s="41" t="b">
        <v>0</v>
      </c>
      <c r="O9" s="41" t="b">
        <v>0</v>
      </c>
      <c r="P9" s="41" t="b">
        <v>1</v>
      </c>
    </row>
    <row r="10" spans="1:16">
      <c r="A10" s="38"/>
      <c r="B10" s="37">
        <v>8</v>
      </c>
      <c r="C10" s="2" t="s">
        <v>140</v>
      </c>
      <c r="D10" s="35" t="s">
        <v>150</v>
      </c>
      <c r="E10" s="36">
        <v>45801</v>
      </c>
      <c r="F10" s="39" t="s">
        <v>144</v>
      </c>
      <c r="G10" s="35">
        <v>175</v>
      </c>
      <c r="H10" s="35">
        <v>90</v>
      </c>
      <c r="I10" s="35">
        <v>85</v>
      </c>
      <c r="J10" s="47">
        <v>45804</v>
      </c>
      <c r="K10" s="47"/>
      <c r="L10" s="41" t="b">
        <v>0</v>
      </c>
      <c r="M10" s="41" t="b">
        <v>0</v>
      </c>
      <c r="N10" s="41" t="b">
        <v>0</v>
      </c>
      <c r="O10" s="41" t="b">
        <v>0</v>
      </c>
      <c r="P10" s="41" t="b">
        <v>1</v>
      </c>
    </row>
    <row r="11" spans="1:16">
      <c r="A11" s="38"/>
      <c r="B11" s="37">
        <v>9</v>
      </c>
      <c r="C11" s="2" t="s">
        <v>140</v>
      </c>
      <c r="D11" s="35" t="s">
        <v>151</v>
      </c>
      <c r="E11" s="36">
        <v>45801</v>
      </c>
      <c r="F11" s="39" t="s">
        <v>144</v>
      </c>
      <c r="G11" s="35">
        <v>270</v>
      </c>
      <c r="H11" s="35">
        <v>130</v>
      </c>
      <c r="I11" s="35">
        <v>140</v>
      </c>
      <c r="J11" s="47">
        <v>45804</v>
      </c>
      <c r="K11" s="47"/>
      <c r="L11" s="41" t="b">
        <v>0</v>
      </c>
      <c r="M11" s="41" t="b">
        <v>0</v>
      </c>
      <c r="N11" s="41" t="b">
        <v>0</v>
      </c>
      <c r="O11" s="41" t="b">
        <v>0</v>
      </c>
      <c r="P11" s="41" t="b">
        <v>1</v>
      </c>
    </row>
    <row r="12" spans="1:16">
      <c r="A12" s="38"/>
      <c r="B12" s="37">
        <v>10</v>
      </c>
      <c r="C12" s="2" t="s">
        <v>140</v>
      </c>
      <c r="D12" s="35" t="s">
        <v>152</v>
      </c>
      <c r="E12" s="36">
        <v>45801</v>
      </c>
      <c r="F12" s="39" t="s">
        <v>144</v>
      </c>
      <c r="G12" s="35">
        <v>418</v>
      </c>
      <c r="H12" s="35">
        <v>200</v>
      </c>
      <c r="I12" s="35">
        <v>218</v>
      </c>
      <c r="J12" s="47">
        <v>45804</v>
      </c>
      <c r="K12" s="47"/>
      <c r="L12" s="41" t="b">
        <v>0</v>
      </c>
      <c r="M12" s="41" t="b">
        <v>0</v>
      </c>
      <c r="N12" s="41" t="b">
        <v>0</v>
      </c>
      <c r="O12" s="41" t="b">
        <v>0</v>
      </c>
      <c r="P12" s="41" t="b">
        <v>1</v>
      </c>
    </row>
    <row r="13" spans="1:16">
      <c r="A13" s="38"/>
      <c r="B13" s="37">
        <v>11</v>
      </c>
      <c r="C13" s="2" t="s">
        <v>140</v>
      </c>
      <c r="D13" s="35" t="s">
        <v>153</v>
      </c>
      <c r="E13" s="36">
        <v>45801</v>
      </c>
      <c r="F13" s="39" t="s">
        <v>144</v>
      </c>
      <c r="G13" s="35">
        <v>90</v>
      </c>
      <c r="H13" s="35">
        <v>90</v>
      </c>
      <c r="I13" s="35">
        <v>0</v>
      </c>
      <c r="J13" s="47">
        <v>45826</v>
      </c>
      <c r="K13" s="47"/>
      <c r="L13" s="41" t="b">
        <v>0</v>
      </c>
      <c r="M13" s="41" t="b">
        <v>0</v>
      </c>
      <c r="N13" s="41" t="b">
        <v>0</v>
      </c>
      <c r="O13" s="41" t="b">
        <v>0</v>
      </c>
      <c r="P13" s="41" t="b">
        <v>1</v>
      </c>
    </row>
    <row r="14" spans="1:16">
      <c r="A14" s="38"/>
      <c r="B14" s="37">
        <v>12</v>
      </c>
      <c r="C14" s="2" t="s">
        <v>140</v>
      </c>
      <c r="D14" s="35" t="s">
        <v>154</v>
      </c>
      <c r="E14" s="36">
        <v>45801</v>
      </c>
      <c r="F14" s="39" t="s">
        <v>142</v>
      </c>
      <c r="G14" s="35">
        <v>108</v>
      </c>
      <c r="H14" s="35">
        <v>54</v>
      </c>
      <c r="I14" s="35">
        <v>54</v>
      </c>
      <c r="J14" s="47">
        <v>45802</v>
      </c>
      <c r="K14" s="47"/>
      <c r="L14" s="2"/>
      <c r="M14" s="41" t="b">
        <v>0</v>
      </c>
      <c r="N14" s="41" t="b">
        <v>0</v>
      </c>
      <c r="O14" s="41" t="b">
        <v>0</v>
      </c>
      <c r="P14" s="41" t="b">
        <v>1</v>
      </c>
    </row>
    <row r="15" spans="1:16">
      <c r="A15" s="38"/>
      <c r="B15" s="37">
        <v>13</v>
      </c>
      <c r="C15" s="2" t="s">
        <v>140</v>
      </c>
      <c r="D15" s="35" t="s">
        <v>155</v>
      </c>
      <c r="E15" s="36">
        <v>45801</v>
      </c>
      <c r="F15" s="39" t="s">
        <v>142</v>
      </c>
      <c r="G15" s="35">
        <v>180</v>
      </c>
      <c r="H15" s="35">
        <v>90</v>
      </c>
      <c r="I15" s="35">
        <v>90</v>
      </c>
      <c r="J15" s="47">
        <v>45805</v>
      </c>
      <c r="K15" s="47"/>
      <c r="L15" s="2"/>
      <c r="M15" s="41" t="b">
        <v>0</v>
      </c>
      <c r="N15" s="41" t="b">
        <v>0</v>
      </c>
      <c r="O15" s="41" t="b">
        <v>0</v>
      </c>
      <c r="P15" s="41" t="b">
        <v>1</v>
      </c>
    </row>
    <row r="16" spans="1:16">
      <c r="A16" s="40"/>
      <c r="B16" s="37">
        <v>14</v>
      </c>
      <c r="C16" s="2" t="s">
        <v>140</v>
      </c>
      <c r="D16" s="35" t="s">
        <v>156</v>
      </c>
      <c r="E16" s="36">
        <v>45803</v>
      </c>
      <c r="F16" s="39" t="s">
        <v>144</v>
      </c>
      <c r="G16" s="35">
        <v>199</v>
      </c>
      <c r="H16" s="35">
        <v>80</v>
      </c>
      <c r="I16" s="35">
        <v>119</v>
      </c>
      <c r="J16" s="47">
        <v>45810</v>
      </c>
      <c r="K16" s="47"/>
      <c r="L16" s="41" t="b">
        <v>0</v>
      </c>
      <c r="M16" s="41" t="b">
        <v>0</v>
      </c>
      <c r="N16" s="41" t="b">
        <v>0</v>
      </c>
      <c r="O16" s="41" t="b">
        <v>0</v>
      </c>
      <c r="P16" s="41" t="b">
        <v>1</v>
      </c>
    </row>
    <row r="17" spans="1:16">
      <c r="A17" s="38"/>
      <c r="B17" s="37">
        <v>15</v>
      </c>
      <c r="C17" s="2" t="s">
        <v>140</v>
      </c>
      <c r="D17" s="35" t="s">
        <v>157</v>
      </c>
      <c r="E17" s="36">
        <v>45804</v>
      </c>
      <c r="F17" s="39" t="s">
        <v>142</v>
      </c>
      <c r="G17" s="35">
        <v>25</v>
      </c>
      <c r="H17" s="35">
        <v>13</v>
      </c>
      <c r="I17" s="35">
        <v>12</v>
      </c>
      <c r="J17" s="47">
        <v>45806</v>
      </c>
      <c r="K17" s="47"/>
      <c r="L17" s="2"/>
      <c r="M17" s="41" t="b">
        <v>0</v>
      </c>
      <c r="N17" s="41" t="b">
        <v>0</v>
      </c>
      <c r="O17" s="41" t="b">
        <v>0</v>
      </c>
      <c r="P17" s="41" t="b">
        <v>1</v>
      </c>
    </row>
    <row r="18" spans="1:16">
      <c r="A18" s="40"/>
      <c r="B18" s="37">
        <v>16</v>
      </c>
      <c r="C18" s="2" t="s">
        <v>140</v>
      </c>
      <c r="D18" s="35" t="s">
        <v>158</v>
      </c>
      <c r="E18" s="36">
        <v>45804</v>
      </c>
      <c r="F18" s="39" t="s">
        <v>142</v>
      </c>
      <c r="G18" s="35">
        <v>290</v>
      </c>
      <c r="H18" s="35">
        <v>150</v>
      </c>
      <c r="I18" s="35">
        <v>140</v>
      </c>
      <c r="J18" s="47">
        <v>45813</v>
      </c>
      <c r="K18" s="47"/>
      <c r="L18" s="2"/>
      <c r="M18" s="41" t="b">
        <v>0</v>
      </c>
      <c r="N18" s="41" t="b">
        <v>0</v>
      </c>
      <c r="O18" s="41" t="b">
        <v>0</v>
      </c>
      <c r="P18" s="41" t="b">
        <v>1</v>
      </c>
    </row>
    <row r="19" spans="1:16">
      <c r="A19" s="38"/>
      <c r="B19" s="37">
        <v>17</v>
      </c>
      <c r="C19" s="2" t="s">
        <v>140</v>
      </c>
      <c r="D19" s="35" t="s">
        <v>159</v>
      </c>
      <c r="E19" s="36">
        <v>45804</v>
      </c>
      <c r="F19" s="39" t="s">
        <v>142</v>
      </c>
      <c r="G19" s="35">
        <v>382</v>
      </c>
      <c r="H19" s="35">
        <v>165</v>
      </c>
      <c r="I19" s="35">
        <v>217</v>
      </c>
      <c r="J19" s="47">
        <v>45806</v>
      </c>
      <c r="K19" s="47"/>
      <c r="L19" s="2"/>
      <c r="M19" s="41" t="b">
        <v>0</v>
      </c>
      <c r="N19" s="41" t="b">
        <v>0</v>
      </c>
      <c r="O19" s="41" t="b">
        <v>0</v>
      </c>
      <c r="P19" s="41" t="b">
        <v>1</v>
      </c>
    </row>
    <row r="20" spans="1:16">
      <c r="A20" s="38"/>
      <c r="B20" s="37">
        <v>18</v>
      </c>
      <c r="C20" s="2" t="s">
        <v>140</v>
      </c>
      <c r="D20" s="35" t="s">
        <v>160</v>
      </c>
      <c r="E20" s="36">
        <v>45804</v>
      </c>
      <c r="F20" s="39" t="s">
        <v>142</v>
      </c>
      <c r="G20" s="35">
        <v>61</v>
      </c>
      <c r="H20" s="35">
        <v>30</v>
      </c>
      <c r="I20" s="35">
        <v>31</v>
      </c>
      <c r="J20" s="47">
        <v>45807</v>
      </c>
      <c r="K20" s="47"/>
      <c r="L20" s="2"/>
      <c r="M20" s="41" t="b">
        <v>0</v>
      </c>
      <c r="N20" s="41" t="b">
        <v>0</v>
      </c>
      <c r="O20" s="41" t="b">
        <v>0</v>
      </c>
      <c r="P20" s="41" t="b">
        <v>1</v>
      </c>
    </row>
    <row r="21" spans="1:16">
      <c r="A21" s="40"/>
      <c r="B21" s="37">
        <v>19</v>
      </c>
      <c r="C21" s="2" t="s">
        <v>140</v>
      </c>
      <c r="D21" s="35" t="s">
        <v>161</v>
      </c>
      <c r="E21" s="36">
        <v>45806</v>
      </c>
      <c r="F21" s="39" t="s">
        <v>142</v>
      </c>
      <c r="G21" s="35">
        <v>25</v>
      </c>
      <c r="H21" s="35">
        <v>15</v>
      </c>
      <c r="I21" s="35">
        <v>10</v>
      </c>
      <c r="J21" s="47">
        <v>45813</v>
      </c>
      <c r="K21" s="47"/>
      <c r="L21" s="2"/>
      <c r="M21" s="41" t="b">
        <v>0</v>
      </c>
      <c r="N21" s="41" t="b">
        <v>0</v>
      </c>
      <c r="O21" s="41" t="b">
        <v>0</v>
      </c>
      <c r="P21" s="41" t="b">
        <v>1</v>
      </c>
    </row>
    <row r="22" spans="1:16">
      <c r="A22" s="40"/>
      <c r="B22" s="37">
        <v>20</v>
      </c>
      <c r="C22" s="2" t="s">
        <v>140</v>
      </c>
      <c r="D22" s="35" t="s">
        <v>162</v>
      </c>
      <c r="E22" s="36">
        <v>45806</v>
      </c>
      <c r="F22" s="39" t="s">
        <v>144</v>
      </c>
      <c r="G22" s="35">
        <v>66</v>
      </c>
      <c r="H22" s="35">
        <v>33</v>
      </c>
      <c r="I22" s="35">
        <v>33</v>
      </c>
      <c r="J22" s="47">
        <v>45813</v>
      </c>
      <c r="K22" s="47"/>
      <c r="L22" s="41" t="b">
        <v>0</v>
      </c>
      <c r="M22" s="41" t="b">
        <v>0</v>
      </c>
      <c r="N22" s="41" t="b">
        <v>0</v>
      </c>
      <c r="O22" s="41" t="b">
        <v>0</v>
      </c>
      <c r="P22" s="41" t="b">
        <v>1</v>
      </c>
    </row>
    <row r="23" spans="1:16">
      <c r="A23" s="40"/>
      <c r="B23" s="37">
        <v>21</v>
      </c>
      <c r="C23" s="2" t="s">
        <v>140</v>
      </c>
      <c r="D23" s="35" t="s">
        <v>163</v>
      </c>
      <c r="E23" s="36">
        <v>45807</v>
      </c>
      <c r="F23" s="39" t="s">
        <v>142</v>
      </c>
      <c r="G23" s="35">
        <v>159</v>
      </c>
      <c r="H23" s="35">
        <v>80</v>
      </c>
      <c r="I23" s="35">
        <v>79</v>
      </c>
      <c r="J23" s="47">
        <v>45814</v>
      </c>
      <c r="K23" s="47"/>
      <c r="L23" s="2"/>
      <c r="M23" s="41" t="b">
        <v>0</v>
      </c>
      <c r="N23" s="41" t="b">
        <v>0</v>
      </c>
      <c r="O23" s="41" t="b">
        <v>0</v>
      </c>
      <c r="P23" s="41" t="b">
        <v>1</v>
      </c>
    </row>
    <row r="24" spans="1:16">
      <c r="A24" s="40"/>
      <c r="B24" s="37">
        <v>22</v>
      </c>
      <c r="C24" s="2" t="s">
        <v>140</v>
      </c>
      <c r="D24" s="35" t="s">
        <v>164</v>
      </c>
      <c r="E24" s="36">
        <v>45807</v>
      </c>
      <c r="F24" s="39" t="s">
        <v>144</v>
      </c>
      <c r="G24" s="35">
        <v>55</v>
      </c>
      <c r="H24" s="35">
        <v>30</v>
      </c>
      <c r="I24" s="35">
        <v>25</v>
      </c>
      <c r="J24" s="47">
        <v>45815</v>
      </c>
      <c r="K24" s="47"/>
      <c r="L24" s="41" t="b">
        <v>0</v>
      </c>
      <c r="M24" s="41" t="b">
        <v>0</v>
      </c>
      <c r="N24" s="41" t="b">
        <v>0</v>
      </c>
      <c r="O24" s="41" t="b">
        <v>0</v>
      </c>
      <c r="P24" s="41" t="b">
        <v>1</v>
      </c>
    </row>
    <row r="25" spans="1:16">
      <c r="A25" s="40"/>
      <c r="B25" s="37">
        <v>23</v>
      </c>
      <c r="C25" s="2" t="s">
        <v>165</v>
      </c>
      <c r="D25" s="35" t="s">
        <v>166</v>
      </c>
      <c r="E25" s="36">
        <v>45808</v>
      </c>
      <c r="F25" s="39" t="s">
        <v>142</v>
      </c>
      <c r="G25" s="35">
        <v>41</v>
      </c>
      <c r="H25" s="35">
        <v>20</v>
      </c>
      <c r="I25" s="35">
        <v>21</v>
      </c>
      <c r="J25" s="47">
        <v>45812</v>
      </c>
      <c r="K25" s="47"/>
      <c r="L25" s="2"/>
      <c r="M25" s="41" t="b">
        <v>0</v>
      </c>
      <c r="N25" s="41" t="b">
        <v>0</v>
      </c>
      <c r="O25" s="41" t="b">
        <v>0</v>
      </c>
      <c r="P25" s="41" t="b">
        <v>1</v>
      </c>
    </row>
    <row r="26" spans="1:16">
      <c r="A26" s="40"/>
      <c r="B26" s="37">
        <v>24</v>
      </c>
      <c r="C26" s="2" t="s">
        <v>167</v>
      </c>
      <c r="D26" s="35" t="s">
        <v>168</v>
      </c>
      <c r="E26" s="36">
        <v>45809</v>
      </c>
      <c r="F26" s="39" t="s">
        <v>142</v>
      </c>
      <c r="G26" s="35">
        <v>94</v>
      </c>
      <c r="H26" s="35">
        <v>50</v>
      </c>
      <c r="I26" s="35">
        <v>44</v>
      </c>
      <c r="J26" s="47">
        <v>45814</v>
      </c>
      <c r="K26" s="47"/>
      <c r="L26" s="2"/>
      <c r="M26" s="41" t="b">
        <v>0</v>
      </c>
      <c r="N26" s="41" t="b">
        <v>0</v>
      </c>
      <c r="O26" s="41" t="b">
        <v>0</v>
      </c>
      <c r="P26" s="41" t="b">
        <v>1</v>
      </c>
    </row>
    <row r="27" spans="1:16">
      <c r="A27" s="40"/>
      <c r="B27" s="37">
        <v>25</v>
      </c>
      <c r="C27" s="46" t="s">
        <v>169</v>
      </c>
      <c r="D27" s="35">
        <v>976314252</v>
      </c>
      <c r="E27" s="36">
        <v>45810</v>
      </c>
      <c r="F27" s="39" t="s">
        <v>142</v>
      </c>
      <c r="G27" s="35">
        <v>26</v>
      </c>
      <c r="H27" s="35">
        <v>13</v>
      </c>
      <c r="I27" s="35">
        <v>13</v>
      </c>
      <c r="J27" s="47">
        <v>45813</v>
      </c>
      <c r="K27" s="47"/>
      <c r="L27" s="2"/>
      <c r="M27" s="41" t="b">
        <v>0</v>
      </c>
      <c r="N27" s="41" t="b">
        <v>0</v>
      </c>
      <c r="O27" s="41" t="b">
        <v>0</v>
      </c>
      <c r="P27" s="41" t="b">
        <v>1</v>
      </c>
    </row>
    <row r="28" spans="1:16">
      <c r="A28" s="40"/>
      <c r="B28" s="37">
        <v>26</v>
      </c>
      <c r="C28" s="2" t="s">
        <v>170</v>
      </c>
      <c r="D28" s="35" t="s">
        <v>171</v>
      </c>
      <c r="E28" s="36">
        <v>45810</v>
      </c>
      <c r="F28" s="39" t="s">
        <v>144</v>
      </c>
      <c r="G28" s="35">
        <v>75</v>
      </c>
      <c r="H28" s="35" t="s">
        <v>172</v>
      </c>
      <c r="I28" s="35" t="s">
        <v>172</v>
      </c>
      <c r="J28" s="47">
        <v>45817</v>
      </c>
      <c r="K28" s="47"/>
      <c r="L28" s="41" t="b">
        <v>0</v>
      </c>
      <c r="M28" s="41" t="b">
        <v>0</v>
      </c>
      <c r="N28" s="41" t="b">
        <v>0</v>
      </c>
      <c r="O28" s="41" t="b">
        <v>0</v>
      </c>
      <c r="P28" s="41" t="b">
        <v>1</v>
      </c>
    </row>
    <row r="29" spans="1:16">
      <c r="A29" s="40"/>
      <c r="B29" s="37">
        <v>27</v>
      </c>
      <c r="C29" s="2" t="s">
        <v>173</v>
      </c>
      <c r="D29" s="35" t="s">
        <v>174</v>
      </c>
      <c r="E29" s="36">
        <v>45811</v>
      </c>
      <c r="F29" s="39" t="s">
        <v>142</v>
      </c>
      <c r="G29" s="35">
        <v>150</v>
      </c>
      <c r="H29" s="35">
        <v>75</v>
      </c>
      <c r="I29" s="35">
        <v>75</v>
      </c>
      <c r="J29" s="47">
        <v>45818</v>
      </c>
      <c r="K29" s="47"/>
      <c r="L29" s="2"/>
      <c r="M29" s="41" t="b">
        <v>0</v>
      </c>
      <c r="N29" s="41" t="b">
        <v>0</v>
      </c>
      <c r="O29" s="41" t="b">
        <v>0</v>
      </c>
      <c r="P29" s="41" t="b">
        <v>1</v>
      </c>
    </row>
    <row r="30" spans="1:16">
      <c r="A30" s="40"/>
      <c r="B30" s="37">
        <v>28</v>
      </c>
      <c r="C30" s="2" t="s">
        <v>175</v>
      </c>
      <c r="D30" s="35" t="s">
        <v>176</v>
      </c>
      <c r="E30" s="36">
        <v>45811</v>
      </c>
      <c r="F30" s="39" t="s">
        <v>144</v>
      </c>
      <c r="G30" s="35">
        <v>150</v>
      </c>
      <c r="H30" s="35">
        <v>75</v>
      </c>
      <c r="I30" s="35">
        <v>75</v>
      </c>
      <c r="J30" s="47">
        <v>45815</v>
      </c>
      <c r="K30" s="47"/>
      <c r="L30" s="41" t="b">
        <v>0</v>
      </c>
      <c r="M30" s="41" t="b">
        <v>0</v>
      </c>
      <c r="N30" s="41" t="b">
        <v>0</v>
      </c>
      <c r="O30" s="41" t="b">
        <v>0</v>
      </c>
      <c r="P30" s="41" t="b">
        <v>1</v>
      </c>
    </row>
    <row r="31" spans="1:16">
      <c r="A31" s="40"/>
      <c r="B31" s="37">
        <v>29</v>
      </c>
      <c r="C31" s="2" t="s">
        <v>177</v>
      </c>
      <c r="D31" s="35" t="s">
        <v>178</v>
      </c>
      <c r="E31" s="36">
        <v>45811</v>
      </c>
      <c r="F31" s="39" t="s">
        <v>144</v>
      </c>
      <c r="G31" s="35">
        <v>65</v>
      </c>
      <c r="H31" s="35">
        <v>30</v>
      </c>
      <c r="I31" s="35">
        <v>35</v>
      </c>
      <c r="J31" s="47">
        <v>45815</v>
      </c>
      <c r="K31" s="47"/>
      <c r="L31" s="41" t="b">
        <v>0</v>
      </c>
      <c r="M31" s="41" t="b">
        <v>0</v>
      </c>
      <c r="N31" s="41" t="b">
        <v>0</v>
      </c>
      <c r="O31" s="41" t="b">
        <v>0</v>
      </c>
      <c r="P31" s="41" t="b">
        <v>1</v>
      </c>
    </row>
    <row r="32" spans="1:16">
      <c r="A32" s="40"/>
      <c r="B32" s="37">
        <v>30</v>
      </c>
      <c r="C32" s="2" t="s">
        <v>179</v>
      </c>
      <c r="D32" s="35" t="s">
        <v>180</v>
      </c>
      <c r="E32" s="36">
        <v>45812</v>
      </c>
      <c r="F32" s="39" t="s">
        <v>144</v>
      </c>
      <c r="G32" s="35">
        <v>309</v>
      </c>
      <c r="H32" s="35">
        <v>150</v>
      </c>
      <c r="I32" s="35">
        <v>159</v>
      </c>
      <c r="J32" s="47">
        <v>45819</v>
      </c>
      <c r="K32" s="47"/>
      <c r="L32" s="41" t="b">
        <v>0</v>
      </c>
      <c r="M32" s="41" t="b">
        <v>0</v>
      </c>
      <c r="N32" s="41" t="b">
        <v>0</v>
      </c>
      <c r="O32" s="41" t="b">
        <v>0</v>
      </c>
      <c r="P32" s="41" t="b">
        <v>1</v>
      </c>
    </row>
    <row r="33" spans="1:16">
      <c r="A33" s="40"/>
      <c r="B33" s="37">
        <v>31</v>
      </c>
      <c r="C33" s="2" t="s">
        <v>181</v>
      </c>
      <c r="D33" s="35" t="s">
        <v>182</v>
      </c>
      <c r="E33" s="36">
        <v>45812</v>
      </c>
      <c r="F33" s="39" t="s">
        <v>183</v>
      </c>
      <c r="G33" s="35">
        <v>105</v>
      </c>
      <c r="H33" s="35">
        <v>50</v>
      </c>
      <c r="I33" s="35">
        <v>55</v>
      </c>
      <c r="J33" s="47">
        <v>45819</v>
      </c>
      <c r="K33" s="47"/>
      <c r="L33" s="2"/>
      <c r="M33" s="41" t="b">
        <v>0</v>
      </c>
      <c r="N33" s="41" t="b">
        <v>0</v>
      </c>
      <c r="O33" s="41" t="b">
        <v>0</v>
      </c>
      <c r="P33" s="41" t="b">
        <v>1</v>
      </c>
    </row>
    <row r="34" spans="1:16">
      <c r="A34" s="40"/>
      <c r="B34" s="37">
        <v>32</v>
      </c>
      <c r="C34" s="2" t="s">
        <v>184</v>
      </c>
      <c r="D34" s="35" t="s">
        <v>185</v>
      </c>
      <c r="E34" s="36">
        <v>45812</v>
      </c>
      <c r="F34" s="39" t="s">
        <v>142</v>
      </c>
      <c r="G34" s="35">
        <v>103</v>
      </c>
      <c r="H34" s="35">
        <v>50</v>
      </c>
      <c r="I34" s="35">
        <v>53</v>
      </c>
      <c r="J34" s="47">
        <v>45814</v>
      </c>
      <c r="K34" s="47"/>
      <c r="L34" s="2"/>
      <c r="M34" s="41" t="b">
        <v>0</v>
      </c>
      <c r="N34" s="41" t="b">
        <v>0</v>
      </c>
      <c r="O34" s="41" t="b">
        <v>0</v>
      </c>
      <c r="P34" s="41" t="b">
        <v>1</v>
      </c>
    </row>
    <row r="35" spans="1:16">
      <c r="A35" s="40"/>
      <c r="B35" s="37">
        <v>33</v>
      </c>
      <c r="C35" s="2" t="s">
        <v>186</v>
      </c>
      <c r="D35" s="35" t="s">
        <v>187</v>
      </c>
      <c r="E35" s="36">
        <v>45812</v>
      </c>
      <c r="F35" s="39" t="s">
        <v>144</v>
      </c>
      <c r="G35" s="35">
        <v>366</v>
      </c>
      <c r="H35" s="35">
        <v>172</v>
      </c>
      <c r="I35" s="35">
        <v>194</v>
      </c>
      <c r="J35" s="47">
        <v>45819</v>
      </c>
      <c r="K35" s="47"/>
      <c r="L35" s="41" t="b">
        <v>0</v>
      </c>
      <c r="M35" s="41" t="b">
        <v>0</v>
      </c>
      <c r="N35" s="41" t="b">
        <v>0</v>
      </c>
      <c r="O35" s="41" t="b">
        <v>0</v>
      </c>
      <c r="P35" s="41" t="b">
        <v>1</v>
      </c>
    </row>
    <row r="36" spans="1:16">
      <c r="A36" s="40"/>
      <c r="B36" s="37">
        <v>34</v>
      </c>
      <c r="C36" s="2" t="s">
        <v>188</v>
      </c>
      <c r="D36" s="35" t="s">
        <v>189</v>
      </c>
      <c r="E36" s="36">
        <v>45813</v>
      </c>
      <c r="F36" s="39" t="s">
        <v>144</v>
      </c>
      <c r="G36" s="35">
        <v>298</v>
      </c>
      <c r="H36" s="35">
        <v>138</v>
      </c>
      <c r="I36" s="35">
        <v>160</v>
      </c>
      <c r="J36" s="47">
        <v>45817</v>
      </c>
      <c r="K36" s="47"/>
      <c r="L36" s="41" t="b">
        <v>0</v>
      </c>
      <c r="M36" s="41" t="b">
        <v>0</v>
      </c>
      <c r="N36" s="41" t="b">
        <v>0</v>
      </c>
      <c r="O36" s="41" t="b">
        <v>0</v>
      </c>
      <c r="P36" s="41" t="b">
        <v>1</v>
      </c>
    </row>
    <row r="37" spans="1:16">
      <c r="A37" s="40"/>
      <c r="B37" s="37">
        <v>35</v>
      </c>
      <c r="C37" s="2" t="s">
        <v>190</v>
      </c>
      <c r="D37" s="35" t="s">
        <v>191</v>
      </c>
      <c r="E37" s="36">
        <v>45813</v>
      </c>
      <c r="F37" s="39" t="s">
        <v>144</v>
      </c>
      <c r="G37" s="35">
        <v>503</v>
      </c>
      <c r="H37" s="35">
        <v>250</v>
      </c>
      <c r="I37" s="35">
        <v>253</v>
      </c>
      <c r="J37" s="47">
        <v>45818</v>
      </c>
      <c r="K37" s="47"/>
      <c r="L37" s="41" t="b">
        <v>0</v>
      </c>
      <c r="M37" s="41" t="b">
        <v>0</v>
      </c>
      <c r="N37" s="41" t="b">
        <v>0</v>
      </c>
      <c r="O37" s="41" t="b">
        <v>0</v>
      </c>
      <c r="P37" s="41" t="b">
        <v>1</v>
      </c>
    </row>
    <row r="38" spans="1:16">
      <c r="A38" s="40"/>
      <c r="B38" s="37">
        <v>36</v>
      </c>
      <c r="C38" s="2" t="s">
        <v>192</v>
      </c>
      <c r="D38" s="35" t="s">
        <v>193</v>
      </c>
      <c r="E38" s="36">
        <v>45813</v>
      </c>
      <c r="F38" s="39" t="s">
        <v>194</v>
      </c>
      <c r="G38" s="35">
        <v>95</v>
      </c>
      <c r="H38" s="35">
        <v>50</v>
      </c>
      <c r="I38" s="35">
        <v>45</v>
      </c>
      <c r="J38" s="47">
        <v>45819</v>
      </c>
      <c r="K38" s="47"/>
      <c r="L38" s="41" t="b">
        <v>0</v>
      </c>
      <c r="M38" s="41" t="b">
        <v>0</v>
      </c>
      <c r="N38" s="41" t="b">
        <v>0</v>
      </c>
      <c r="O38" s="41" t="b">
        <v>0</v>
      </c>
      <c r="P38" s="41" t="b">
        <v>1</v>
      </c>
    </row>
    <row r="39" spans="1:16">
      <c r="A39" s="40"/>
      <c r="B39" s="37">
        <v>37</v>
      </c>
      <c r="C39" s="2" t="s">
        <v>195</v>
      </c>
      <c r="D39" s="35" t="s">
        <v>196</v>
      </c>
      <c r="E39" s="36">
        <v>45813</v>
      </c>
      <c r="F39" s="39" t="s">
        <v>144</v>
      </c>
      <c r="G39" s="35">
        <v>60</v>
      </c>
      <c r="H39" s="35">
        <v>30</v>
      </c>
      <c r="I39" s="35">
        <v>30</v>
      </c>
      <c r="J39" s="47">
        <v>45819</v>
      </c>
      <c r="K39" s="47"/>
      <c r="L39" s="41" t="b">
        <v>0</v>
      </c>
      <c r="M39" s="41" t="b">
        <v>0</v>
      </c>
      <c r="N39" s="41" t="b">
        <v>0</v>
      </c>
      <c r="O39" s="41" t="b">
        <v>0</v>
      </c>
      <c r="P39" s="41" t="b">
        <v>1</v>
      </c>
    </row>
    <row r="40" spans="1:16">
      <c r="A40" s="40"/>
      <c r="B40" s="37">
        <v>38</v>
      </c>
      <c r="C40" s="2" t="s">
        <v>197</v>
      </c>
      <c r="D40" s="35" t="s">
        <v>198</v>
      </c>
      <c r="E40" s="36">
        <v>45813</v>
      </c>
      <c r="F40" s="39" t="s">
        <v>144</v>
      </c>
      <c r="G40" s="35">
        <v>189</v>
      </c>
      <c r="H40" s="35">
        <v>80</v>
      </c>
      <c r="I40" s="35">
        <v>109</v>
      </c>
      <c r="J40" s="47">
        <v>45819</v>
      </c>
      <c r="K40" s="47"/>
      <c r="L40" s="41" t="b">
        <v>0</v>
      </c>
      <c r="M40" s="41" t="b">
        <v>0</v>
      </c>
      <c r="N40" s="41" t="b">
        <v>0</v>
      </c>
      <c r="O40" s="41" t="b">
        <v>0</v>
      </c>
      <c r="P40" s="41" t="b">
        <v>1</v>
      </c>
    </row>
    <row r="41" spans="1:16">
      <c r="A41" s="40"/>
      <c r="B41" s="37">
        <v>39</v>
      </c>
      <c r="C41" s="2" t="s">
        <v>199</v>
      </c>
      <c r="D41" s="35" t="s">
        <v>200</v>
      </c>
      <c r="E41" s="36">
        <v>45814</v>
      </c>
      <c r="F41" s="39" t="s">
        <v>142</v>
      </c>
      <c r="G41" s="35">
        <v>30</v>
      </c>
      <c r="H41" s="35">
        <v>15</v>
      </c>
      <c r="I41" s="35">
        <v>15</v>
      </c>
      <c r="J41" s="47">
        <v>45819</v>
      </c>
      <c r="K41" s="47"/>
      <c r="L41" s="2"/>
      <c r="M41" s="41" t="b">
        <v>0</v>
      </c>
      <c r="N41" s="41" t="b">
        <v>0</v>
      </c>
      <c r="O41" s="41" t="b">
        <v>0</v>
      </c>
      <c r="P41" s="41" t="b">
        <v>1</v>
      </c>
    </row>
    <row r="42" spans="1:16">
      <c r="A42" s="40"/>
      <c r="B42" s="37">
        <v>40</v>
      </c>
      <c r="C42" s="2" t="s">
        <v>201</v>
      </c>
      <c r="D42" s="35" t="s">
        <v>202</v>
      </c>
      <c r="E42" s="36">
        <v>45814</v>
      </c>
      <c r="F42" s="39" t="s">
        <v>183</v>
      </c>
      <c r="G42" s="35">
        <v>110</v>
      </c>
      <c r="H42" s="35">
        <v>80</v>
      </c>
      <c r="I42" s="35">
        <v>30</v>
      </c>
      <c r="J42" s="47">
        <v>45820</v>
      </c>
      <c r="K42" s="47"/>
      <c r="L42" s="2"/>
      <c r="M42" s="41" t="b">
        <v>0</v>
      </c>
      <c r="N42" s="41" t="b">
        <v>0</v>
      </c>
      <c r="O42" s="41" t="b">
        <v>0</v>
      </c>
      <c r="P42" s="41" t="b">
        <v>1</v>
      </c>
    </row>
    <row r="43" spans="1:16">
      <c r="A43" s="40"/>
      <c r="B43" s="37">
        <v>41</v>
      </c>
      <c r="C43" s="2" t="s">
        <v>203</v>
      </c>
      <c r="D43" s="35" t="s">
        <v>204</v>
      </c>
      <c r="E43" s="36">
        <v>45814</v>
      </c>
      <c r="F43" s="39" t="s">
        <v>183</v>
      </c>
      <c r="G43" s="35">
        <v>338</v>
      </c>
      <c r="H43" s="35">
        <v>169</v>
      </c>
      <c r="I43" s="35">
        <v>169</v>
      </c>
      <c r="J43" s="47">
        <v>45817</v>
      </c>
      <c r="K43" s="47"/>
      <c r="L43" s="2"/>
      <c r="M43" s="41" t="b">
        <v>0</v>
      </c>
      <c r="N43" s="41" t="b">
        <v>0</v>
      </c>
      <c r="O43" s="41" t="b">
        <v>0</v>
      </c>
      <c r="P43" s="41" t="b">
        <v>1</v>
      </c>
    </row>
    <row r="44" spans="1:16">
      <c r="A44" s="40"/>
      <c r="B44" s="37">
        <v>42</v>
      </c>
      <c r="C44" s="2" t="s">
        <v>205</v>
      </c>
      <c r="D44" s="35" t="s">
        <v>206</v>
      </c>
      <c r="E44" s="36">
        <v>45814</v>
      </c>
      <c r="F44" s="39" t="s">
        <v>144</v>
      </c>
      <c r="G44" s="35">
        <v>193</v>
      </c>
      <c r="H44" s="35">
        <v>60</v>
      </c>
      <c r="I44" s="35">
        <v>133</v>
      </c>
      <c r="J44" s="47">
        <v>45819</v>
      </c>
      <c r="K44" s="47"/>
      <c r="L44" s="41" t="b">
        <v>0</v>
      </c>
      <c r="M44" s="41" t="b">
        <v>0</v>
      </c>
      <c r="N44" s="41" t="b">
        <v>0</v>
      </c>
      <c r="O44" s="41" t="b">
        <v>0</v>
      </c>
      <c r="P44" s="41" t="b">
        <v>1</v>
      </c>
    </row>
    <row r="45" spans="1:16">
      <c r="A45" s="40"/>
      <c r="B45" s="37">
        <v>43</v>
      </c>
      <c r="C45" s="46" t="s">
        <v>207</v>
      </c>
      <c r="D45" s="35" t="s">
        <v>208</v>
      </c>
      <c r="E45" s="36">
        <v>45814</v>
      </c>
      <c r="F45" s="39" t="s">
        <v>142</v>
      </c>
      <c r="G45" s="35">
        <v>41</v>
      </c>
      <c r="H45" s="35">
        <v>20</v>
      </c>
      <c r="I45" s="35">
        <v>21</v>
      </c>
      <c r="J45" s="47">
        <v>45817</v>
      </c>
      <c r="K45" s="47"/>
      <c r="L45" s="2"/>
      <c r="M45" s="41" t="b">
        <v>0</v>
      </c>
      <c r="N45" s="41" t="b">
        <v>0</v>
      </c>
      <c r="O45" s="41" t="b">
        <v>0</v>
      </c>
      <c r="P45" s="41" t="b">
        <v>1</v>
      </c>
    </row>
    <row r="46" spans="1:16">
      <c r="A46" s="40"/>
      <c r="B46" s="37">
        <v>44</v>
      </c>
      <c r="C46" s="2" t="s">
        <v>209</v>
      </c>
      <c r="D46" s="35" t="s">
        <v>210</v>
      </c>
      <c r="E46" s="36">
        <v>45814</v>
      </c>
      <c r="F46" s="39" t="s">
        <v>183</v>
      </c>
      <c r="G46" s="35">
        <v>410</v>
      </c>
      <c r="H46" s="35">
        <v>210</v>
      </c>
      <c r="I46" s="35">
        <v>200</v>
      </c>
      <c r="J46" s="47">
        <v>45820</v>
      </c>
      <c r="K46" s="47"/>
      <c r="L46" s="2"/>
      <c r="M46" s="41" t="b">
        <v>0</v>
      </c>
      <c r="N46" s="41" t="b">
        <v>0</v>
      </c>
      <c r="O46" s="41" t="b">
        <v>0</v>
      </c>
      <c r="P46" s="41" t="b">
        <v>1</v>
      </c>
    </row>
    <row r="47" spans="1:16">
      <c r="A47" s="40"/>
      <c r="B47" s="37">
        <v>45</v>
      </c>
      <c r="C47" s="2" t="s">
        <v>211</v>
      </c>
      <c r="D47" s="2" t="s">
        <v>212</v>
      </c>
      <c r="E47" s="43">
        <v>45821</v>
      </c>
      <c r="F47" s="42" t="s">
        <v>194</v>
      </c>
      <c r="G47" s="2">
        <v>56</v>
      </c>
      <c r="H47" s="2">
        <v>28</v>
      </c>
      <c r="I47" s="35">
        <v>28</v>
      </c>
      <c r="J47" s="48">
        <v>45826</v>
      </c>
      <c r="K47" s="48"/>
      <c r="L47" s="2"/>
      <c r="M47" s="41" t="b">
        <v>0</v>
      </c>
      <c r="N47" s="41" t="b">
        <v>0</v>
      </c>
      <c r="O47" s="41" t="b">
        <v>0</v>
      </c>
      <c r="P47" s="41" t="b">
        <v>1</v>
      </c>
    </row>
    <row r="48" spans="1:16">
      <c r="A48" s="40"/>
      <c r="B48" s="37">
        <v>46</v>
      </c>
      <c r="C48" s="2" t="s">
        <v>213</v>
      </c>
      <c r="D48" s="2" t="s">
        <v>214</v>
      </c>
      <c r="E48" s="43">
        <v>45821</v>
      </c>
      <c r="F48" s="42" t="s">
        <v>142</v>
      </c>
      <c r="G48" s="2">
        <v>40</v>
      </c>
      <c r="H48" s="2">
        <v>15</v>
      </c>
      <c r="I48" s="35">
        <v>25</v>
      </c>
      <c r="J48" s="48">
        <v>45822</v>
      </c>
      <c r="K48" s="48"/>
      <c r="L48" s="2"/>
      <c r="M48" s="41" t="b">
        <v>0</v>
      </c>
      <c r="N48" s="41" t="b">
        <v>0</v>
      </c>
      <c r="O48" s="41" t="b">
        <v>0</v>
      </c>
      <c r="P48" s="41" t="b">
        <v>1</v>
      </c>
    </row>
    <row r="49" spans="1:16">
      <c r="A49" s="40"/>
      <c r="B49" s="37">
        <v>47</v>
      </c>
      <c r="C49" s="2" t="s">
        <v>215</v>
      </c>
      <c r="D49" s="2" t="s">
        <v>216</v>
      </c>
      <c r="E49" s="43">
        <v>45821</v>
      </c>
      <c r="F49" s="42" t="s">
        <v>183</v>
      </c>
      <c r="G49" s="2">
        <v>100</v>
      </c>
      <c r="H49" s="2">
        <v>50</v>
      </c>
      <c r="I49" s="35">
        <v>50</v>
      </c>
      <c r="J49" s="48">
        <v>45822</v>
      </c>
      <c r="K49" s="48"/>
      <c r="L49" s="2"/>
      <c r="M49" s="41" t="b">
        <v>0</v>
      </c>
      <c r="N49" s="41" t="b">
        <v>0</v>
      </c>
      <c r="O49" s="41" t="b">
        <v>0</v>
      </c>
      <c r="P49" s="41" t="b">
        <v>1</v>
      </c>
    </row>
    <row r="50" spans="1:16">
      <c r="A50" s="40"/>
      <c r="B50" s="37">
        <v>48</v>
      </c>
      <c r="C50" s="2" t="s">
        <v>217</v>
      </c>
      <c r="D50" s="2" t="s">
        <v>218</v>
      </c>
      <c r="E50" s="43">
        <v>45821</v>
      </c>
      <c r="F50" s="42" t="s">
        <v>183</v>
      </c>
      <c r="G50" s="2">
        <v>120</v>
      </c>
      <c r="H50" s="2">
        <v>60</v>
      </c>
      <c r="I50" s="35">
        <v>60</v>
      </c>
      <c r="J50" s="48">
        <v>45822</v>
      </c>
      <c r="K50" s="48"/>
      <c r="L50" s="2"/>
      <c r="M50" s="41" t="b">
        <v>0</v>
      </c>
      <c r="N50" s="41" t="b">
        <v>0</v>
      </c>
      <c r="O50" s="41" t="b">
        <v>0</v>
      </c>
      <c r="P50" s="41" t="b">
        <v>1</v>
      </c>
    </row>
    <row r="51" spans="1:16">
      <c r="A51" s="40"/>
      <c r="B51" s="37">
        <v>49</v>
      </c>
      <c r="C51" s="2" t="s">
        <v>219</v>
      </c>
      <c r="D51" s="2" t="s">
        <v>220</v>
      </c>
      <c r="E51" s="43">
        <v>45821</v>
      </c>
      <c r="F51" s="42" t="s">
        <v>144</v>
      </c>
      <c r="G51" s="2">
        <v>108</v>
      </c>
      <c r="H51" s="2">
        <v>50</v>
      </c>
      <c r="I51" s="35">
        <v>58</v>
      </c>
      <c r="J51" s="48">
        <v>45825</v>
      </c>
      <c r="K51" s="48"/>
      <c r="L51" s="2"/>
      <c r="M51" s="41" t="b">
        <v>0</v>
      </c>
      <c r="N51" s="41" t="b">
        <v>0</v>
      </c>
      <c r="O51" s="41" t="b">
        <v>0</v>
      </c>
      <c r="P51" s="41" t="b">
        <v>1</v>
      </c>
    </row>
    <row r="52" spans="1:16">
      <c r="A52" s="40"/>
      <c r="B52" s="37">
        <v>50</v>
      </c>
      <c r="C52" s="2" t="s">
        <v>221</v>
      </c>
      <c r="D52" s="2" t="s">
        <v>222</v>
      </c>
      <c r="E52" s="43">
        <v>45821</v>
      </c>
      <c r="F52" s="42" t="s">
        <v>183</v>
      </c>
      <c r="G52" s="2">
        <v>29</v>
      </c>
      <c r="H52" s="2">
        <v>29</v>
      </c>
      <c r="I52" s="35">
        <v>0</v>
      </c>
      <c r="J52" s="48">
        <v>45822</v>
      </c>
      <c r="K52" s="48"/>
      <c r="L52" s="2"/>
      <c r="M52" s="41" t="b">
        <v>0</v>
      </c>
      <c r="N52" s="41" t="b">
        <v>0</v>
      </c>
      <c r="O52" s="41" t="b">
        <v>0</v>
      </c>
      <c r="P52" s="41" t="b">
        <v>1</v>
      </c>
    </row>
    <row r="53" spans="1:16">
      <c r="A53" s="40"/>
      <c r="B53" s="37">
        <v>51</v>
      </c>
      <c r="C53" s="2" t="s">
        <v>223</v>
      </c>
      <c r="D53" s="2" t="s">
        <v>224</v>
      </c>
      <c r="E53" s="43">
        <v>45821</v>
      </c>
      <c r="F53" s="42" t="s">
        <v>142</v>
      </c>
      <c r="G53" s="2">
        <v>35</v>
      </c>
      <c r="H53" s="2">
        <v>17</v>
      </c>
      <c r="I53" s="35">
        <v>18</v>
      </c>
      <c r="J53" s="48">
        <v>45822</v>
      </c>
      <c r="K53" s="48"/>
      <c r="L53" s="2"/>
      <c r="M53" s="41" t="b">
        <v>0</v>
      </c>
      <c r="N53" s="41" t="b">
        <v>0</v>
      </c>
      <c r="O53" s="41" t="b">
        <v>0</v>
      </c>
      <c r="P53" s="41" t="b">
        <v>1</v>
      </c>
    </row>
    <row r="54" spans="1:16">
      <c r="A54" s="40"/>
      <c r="B54" s="37">
        <v>52</v>
      </c>
      <c r="C54" s="2" t="s">
        <v>225</v>
      </c>
      <c r="D54" s="2" t="s">
        <v>226</v>
      </c>
      <c r="E54" s="43">
        <v>45822</v>
      </c>
      <c r="F54" s="42" t="s">
        <v>142</v>
      </c>
      <c r="G54" s="2">
        <v>120</v>
      </c>
      <c r="H54" s="2">
        <v>60</v>
      </c>
      <c r="I54" s="35">
        <v>60</v>
      </c>
      <c r="J54" s="48">
        <v>45822</v>
      </c>
      <c r="K54" s="48"/>
      <c r="L54" s="2"/>
      <c r="M54" s="41" t="b">
        <v>0</v>
      </c>
      <c r="N54" s="41" t="b">
        <v>0</v>
      </c>
      <c r="O54" s="41" t="b">
        <v>0</v>
      </c>
      <c r="P54" s="41" t="b">
        <v>1</v>
      </c>
    </row>
    <row r="55" spans="1:16">
      <c r="A55" s="40"/>
      <c r="B55" s="37">
        <v>53</v>
      </c>
      <c r="C55" s="2" t="s">
        <v>227</v>
      </c>
      <c r="D55" s="2" t="s">
        <v>228</v>
      </c>
      <c r="E55" s="43">
        <v>45822</v>
      </c>
      <c r="F55" s="42" t="s">
        <v>142</v>
      </c>
      <c r="G55" s="2">
        <v>55</v>
      </c>
      <c r="H55" s="2">
        <v>55</v>
      </c>
      <c r="I55" s="35">
        <v>0</v>
      </c>
      <c r="J55" s="48">
        <v>45822</v>
      </c>
      <c r="K55" s="48"/>
      <c r="L55" s="2"/>
      <c r="M55" s="41" t="b">
        <v>0</v>
      </c>
      <c r="N55" s="41" t="b">
        <v>0</v>
      </c>
      <c r="O55" s="41" t="b">
        <v>0</v>
      </c>
      <c r="P55" s="41" t="b">
        <v>1</v>
      </c>
    </row>
    <row r="56" spans="1:16">
      <c r="A56" s="40"/>
      <c r="B56" s="37">
        <v>54</v>
      </c>
      <c r="C56" s="2" t="s">
        <v>229</v>
      </c>
      <c r="D56" s="2" t="s">
        <v>230</v>
      </c>
      <c r="E56" s="43">
        <v>45827</v>
      </c>
      <c r="F56" s="42" t="s">
        <v>142</v>
      </c>
      <c r="G56" s="2">
        <v>184</v>
      </c>
      <c r="H56" s="2">
        <v>100</v>
      </c>
      <c r="I56" s="35">
        <v>84</v>
      </c>
      <c r="J56" s="48">
        <v>45829</v>
      </c>
      <c r="K56" s="48"/>
      <c r="L56" s="2"/>
      <c r="M56" s="41" t="b">
        <v>0</v>
      </c>
      <c r="N56" s="41" t="b">
        <v>0</v>
      </c>
      <c r="O56" s="41" t="b">
        <v>0</v>
      </c>
      <c r="P56" s="41" t="b">
        <v>1</v>
      </c>
    </row>
    <row r="57" spans="1:16">
      <c r="A57" s="40"/>
      <c r="B57" s="37">
        <v>55</v>
      </c>
      <c r="C57" s="2" t="s">
        <v>231</v>
      </c>
      <c r="D57" s="2" t="s">
        <v>232</v>
      </c>
      <c r="E57" s="43">
        <v>45827</v>
      </c>
      <c r="F57" s="42" t="s">
        <v>183</v>
      </c>
      <c r="G57" s="2">
        <v>1044</v>
      </c>
      <c r="H57" s="2">
        <v>511</v>
      </c>
      <c r="I57" s="35">
        <v>533</v>
      </c>
      <c r="J57" s="48">
        <v>45843</v>
      </c>
      <c r="K57" s="48"/>
      <c r="L57" s="2"/>
      <c r="M57" s="41" t="b">
        <v>0</v>
      </c>
      <c r="N57" s="41" t="b">
        <v>0</v>
      </c>
      <c r="O57" s="41" t="b">
        <v>0</v>
      </c>
      <c r="P57" s="41" t="b">
        <v>1</v>
      </c>
    </row>
    <row r="58" spans="1:16">
      <c r="A58" s="40"/>
      <c r="B58" s="37">
        <v>56</v>
      </c>
      <c r="C58" s="2" t="s">
        <v>233</v>
      </c>
      <c r="D58" s="2" t="s">
        <v>149</v>
      </c>
      <c r="E58" s="43">
        <v>45828</v>
      </c>
      <c r="F58" s="42" t="s">
        <v>142</v>
      </c>
      <c r="G58" s="2">
        <v>66</v>
      </c>
      <c r="H58" s="2">
        <v>35</v>
      </c>
      <c r="I58" s="35">
        <v>31</v>
      </c>
      <c r="J58" s="48">
        <v>45829</v>
      </c>
      <c r="K58" s="48"/>
      <c r="L58" s="2"/>
      <c r="M58" s="41" t="b">
        <v>0</v>
      </c>
      <c r="N58" s="41" t="b">
        <v>0</v>
      </c>
      <c r="O58" s="41" t="b">
        <v>0</v>
      </c>
      <c r="P58" s="41" t="b">
        <v>1</v>
      </c>
    </row>
    <row r="59" spans="1:16">
      <c r="A59" s="40"/>
      <c r="B59" s="37">
        <v>57</v>
      </c>
      <c r="C59" s="2" t="s">
        <v>234</v>
      </c>
      <c r="D59" s="2" t="s">
        <v>235</v>
      </c>
      <c r="E59" s="43">
        <v>45828</v>
      </c>
      <c r="F59" s="42" t="s">
        <v>144</v>
      </c>
      <c r="G59" s="2">
        <v>88</v>
      </c>
      <c r="H59" s="2">
        <v>44</v>
      </c>
      <c r="I59" s="35">
        <v>44</v>
      </c>
      <c r="J59" s="48">
        <v>45834</v>
      </c>
      <c r="K59" s="48"/>
      <c r="L59" s="2"/>
      <c r="M59" s="41" t="b">
        <v>0</v>
      </c>
      <c r="N59" s="41" t="b">
        <v>0</v>
      </c>
      <c r="O59" s="41" t="b">
        <v>0</v>
      </c>
      <c r="P59" s="41" t="b">
        <v>1</v>
      </c>
    </row>
    <row r="60" spans="1:16">
      <c r="A60" s="40"/>
      <c r="B60" s="37">
        <v>58</v>
      </c>
      <c r="C60" s="2" t="s">
        <v>236</v>
      </c>
      <c r="D60" s="2" t="s">
        <v>237</v>
      </c>
      <c r="E60" s="43">
        <v>45828</v>
      </c>
      <c r="F60" s="42" t="s">
        <v>144</v>
      </c>
      <c r="G60" s="2">
        <v>110</v>
      </c>
      <c r="H60" s="2">
        <v>50</v>
      </c>
      <c r="I60" s="35">
        <v>60</v>
      </c>
      <c r="J60" s="48">
        <v>45834</v>
      </c>
      <c r="K60" s="48"/>
      <c r="L60" s="2"/>
      <c r="M60" s="41" t="b">
        <v>0</v>
      </c>
      <c r="N60" s="41" t="b">
        <v>0</v>
      </c>
      <c r="O60" s="41" t="b">
        <v>0</v>
      </c>
      <c r="P60" s="41" t="b">
        <v>1</v>
      </c>
    </row>
    <row r="61" spans="1:16">
      <c r="A61" s="40"/>
      <c r="B61" s="37">
        <v>59</v>
      </c>
      <c r="C61" s="2" t="s">
        <v>238</v>
      </c>
      <c r="D61" s="2" t="s">
        <v>239</v>
      </c>
      <c r="E61" s="43">
        <v>45828</v>
      </c>
      <c r="F61" s="42" t="s">
        <v>142</v>
      </c>
      <c r="G61" s="2">
        <v>66</v>
      </c>
      <c r="H61" s="2">
        <v>33</v>
      </c>
      <c r="I61" s="35">
        <v>33</v>
      </c>
      <c r="J61" s="48">
        <v>45834</v>
      </c>
      <c r="K61" s="48"/>
      <c r="L61" s="2"/>
      <c r="M61" s="41" t="b">
        <v>0</v>
      </c>
      <c r="N61" s="41" t="b">
        <v>0</v>
      </c>
      <c r="O61" s="41" t="b">
        <v>0</v>
      </c>
      <c r="P61" s="41" t="b">
        <v>1</v>
      </c>
    </row>
    <row r="62" spans="1:16">
      <c r="A62" s="40"/>
      <c r="B62" s="37">
        <v>60</v>
      </c>
      <c r="C62" s="2" t="s">
        <v>240</v>
      </c>
      <c r="D62" s="2" t="s">
        <v>241</v>
      </c>
      <c r="E62" s="43">
        <v>45829</v>
      </c>
      <c r="F62" s="42" t="s">
        <v>144</v>
      </c>
      <c r="G62" s="2">
        <v>66</v>
      </c>
      <c r="H62" s="2">
        <v>33</v>
      </c>
      <c r="I62" s="35">
        <v>33</v>
      </c>
      <c r="J62" s="48">
        <v>45834</v>
      </c>
      <c r="K62" s="48"/>
      <c r="L62" s="2"/>
      <c r="M62" s="41" t="b">
        <v>0</v>
      </c>
      <c r="N62" s="41" t="b">
        <v>0</v>
      </c>
      <c r="O62" s="41" t="b">
        <v>0</v>
      </c>
      <c r="P62" s="41" t="b">
        <v>1</v>
      </c>
    </row>
    <row r="63" spans="1:16">
      <c r="A63" s="40"/>
      <c r="B63" s="37">
        <v>61</v>
      </c>
      <c r="C63" s="2" t="s">
        <v>242</v>
      </c>
      <c r="D63" s="2" t="s">
        <v>243</v>
      </c>
      <c r="E63" s="43">
        <v>45829</v>
      </c>
      <c r="F63" s="42" t="s">
        <v>144</v>
      </c>
      <c r="G63" s="2">
        <v>72</v>
      </c>
      <c r="H63" s="2">
        <v>36</v>
      </c>
      <c r="I63" s="35">
        <v>36</v>
      </c>
      <c r="J63" s="48">
        <v>45834</v>
      </c>
      <c r="K63" s="48"/>
      <c r="L63" s="2"/>
      <c r="M63" s="41" t="b">
        <v>0</v>
      </c>
      <c r="N63" s="41" t="b">
        <v>0</v>
      </c>
      <c r="O63" s="41" t="b">
        <v>0</v>
      </c>
      <c r="P63" s="41" t="b">
        <v>1</v>
      </c>
    </row>
    <row r="64" spans="1:16">
      <c r="A64" s="40"/>
      <c r="B64" s="37">
        <v>62</v>
      </c>
      <c r="C64" s="2" t="s">
        <v>244</v>
      </c>
      <c r="D64" s="2" t="s">
        <v>245</v>
      </c>
      <c r="E64" s="43">
        <v>45829</v>
      </c>
      <c r="F64" s="42" t="s">
        <v>144</v>
      </c>
      <c r="G64" s="2">
        <v>108</v>
      </c>
      <c r="H64" s="2">
        <v>54</v>
      </c>
      <c r="I64" s="35">
        <v>54</v>
      </c>
      <c r="J64" s="48">
        <v>45834</v>
      </c>
      <c r="K64" s="48"/>
      <c r="L64" s="2"/>
      <c r="M64" s="41" t="b">
        <v>0</v>
      </c>
      <c r="N64" s="41" t="b">
        <v>0</v>
      </c>
      <c r="O64" s="41" t="b">
        <v>0</v>
      </c>
      <c r="P64" s="41" t="b">
        <v>1</v>
      </c>
    </row>
    <row r="65" spans="1:16">
      <c r="A65" s="40"/>
      <c r="B65" s="37">
        <v>63</v>
      </c>
      <c r="C65" s="2" t="s">
        <v>246</v>
      </c>
      <c r="D65" s="2" t="s">
        <v>247</v>
      </c>
      <c r="E65" s="43">
        <v>45829</v>
      </c>
      <c r="F65" s="42" t="s">
        <v>183</v>
      </c>
      <c r="G65" s="2">
        <v>66</v>
      </c>
      <c r="H65" s="2">
        <v>50</v>
      </c>
      <c r="I65" s="35">
        <v>16</v>
      </c>
      <c r="J65" s="48">
        <v>45836</v>
      </c>
      <c r="K65" s="48"/>
      <c r="L65" s="2"/>
      <c r="M65" s="41" t="b">
        <v>0</v>
      </c>
      <c r="N65" s="41" t="b">
        <v>0</v>
      </c>
      <c r="O65" s="41" t="b">
        <v>0</v>
      </c>
      <c r="P65" s="41" t="b">
        <v>1</v>
      </c>
    </row>
    <row r="66" spans="1:16">
      <c r="A66" s="40"/>
      <c r="B66" s="37">
        <v>64</v>
      </c>
      <c r="C66" s="2" t="s">
        <v>248</v>
      </c>
      <c r="D66" s="2" t="s">
        <v>249</v>
      </c>
      <c r="E66" s="43">
        <v>45829</v>
      </c>
      <c r="F66" s="42" t="s">
        <v>144</v>
      </c>
      <c r="G66" s="2">
        <v>66</v>
      </c>
      <c r="H66" s="2">
        <v>33</v>
      </c>
      <c r="I66" s="35">
        <v>33</v>
      </c>
      <c r="J66" s="48">
        <v>45834</v>
      </c>
      <c r="K66" s="48"/>
      <c r="L66" s="2"/>
      <c r="M66" s="41" t="b">
        <v>0</v>
      </c>
      <c r="N66" s="41" t="b">
        <v>0</v>
      </c>
      <c r="O66" s="41" t="b">
        <v>0</v>
      </c>
      <c r="P66" s="41" t="b">
        <v>1</v>
      </c>
    </row>
    <row r="67" spans="1:16">
      <c r="A67" s="40"/>
      <c r="B67" s="37">
        <v>65</v>
      </c>
      <c r="C67" s="2" t="s">
        <v>250</v>
      </c>
      <c r="D67" s="2" t="s">
        <v>251</v>
      </c>
      <c r="E67" s="43">
        <v>45829</v>
      </c>
      <c r="F67" s="42" t="s">
        <v>142</v>
      </c>
      <c r="G67" s="2">
        <v>79</v>
      </c>
      <c r="H67" s="2">
        <v>40</v>
      </c>
      <c r="I67" s="35">
        <v>39</v>
      </c>
      <c r="J67" s="48">
        <v>45839</v>
      </c>
      <c r="K67" s="48"/>
      <c r="L67" s="2"/>
      <c r="M67" s="41" t="b">
        <v>0</v>
      </c>
      <c r="N67" s="41" t="b">
        <v>0</v>
      </c>
      <c r="O67" s="41" t="b">
        <v>0</v>
      </c>
      <c r="P67" s="41" t="b">
        <v>1</v>
      </c>
    </row>
    <row r="68" spans="1:16">
      <c r="A68" s="40"/>
      <c r="B68" s="37">
        <v>66</v>
      </c>
      <c r="C68" s="2" t="s">
        <v>252</v>
      </c>
      <c r="D68" s="2" t="s">
        <v>253</v>
      </c>
      <c r="E68" s="43">
        <v>45831</v>
      </c>
      <c r="F68" s="42" t="s">
        <v>144</v>
      </c>
      <c r="G68" s="2">
        <v>54</v>
      </c>
      <c r="H68" s="2">
        <v>30</v>
      </c>
      <c r="I68" s="35">
        <v>24</v>
      </c>
      <c r="J68" s="48">
        <v>45834</v>
      </c>
      <c r="K68" s="48"/>
      <c r="L68" s="2"/>
      <c r="M68" s="41" t="b">
        <v>0</v>
      </c>
      <c r="N68" s="41" t="b">
        <v>0</v>
      </c>
      <c r="O68" s="41" t="b">
        <v>0</v>
      </c>
      <c r="P68" s="41" t="b">
        <v>1</v>
      </c>
    </row>
    <row r="69" spans="1:16">
      <c r="A69" s="40"/>
      <c r="B69" s="37">
        <v>67</v>
      </c>
      <c r="C69" s="2" t="s">
        <v>254</v>
      </c>
      <c r="D69" s="2" t="s">
        <v>255</v>
      </c>
      <c r="E69" s="43">
        <v>45831</v>
      </c>
      <c r="F69" s="42" t="s">
        <v>144</v>
      </c>
      <c r="G69" s="2">
        <v>96</v>
      </c>
      <c r="H69" s="2">
        <v>50</v>
      </c>
      <c r="I69" s="35">
        <v>46</v>
      </c>
      <c r="J69" s="48">
        <v>45836</v>
      </c>
      <c r="K69" s="48"/>
      <c r="L69" s="2"/>
      <c r="M69" s="41" t="b">
        <v>0</v>
      </c>
      <c r="N69" s="41" t="b">
        <v>0</v>
      </c>
      <c r="O69" s="41" t="b">
        <v>0</v>
      </c>
      <c r="P69" s="41" t="b">
        <v>1</v>
      </c>
    </row>
    <row r="70" spans="1:16">
      <c r="A70" s="40"/>
      <c r="B70" s="37">
        <v>68</v>
      </c>
      <c r="C70" s="2" t="s">
        <v>256</v>
      </c>
      <c r="D70" s="2" t="s">
        <v>257</v>
      </c>
      <c r="E70" s="43">
        <v>45832</v>
      </c>
      <c r="F70" s="42" t="s">
        <v>183</v>
      </c>
      <c r="G70" s="2">
        <v>66</v>
      </c>
      <c r="H70" s="2">
        <v>30</v>
      </c>
      <c r="I70" s="35">
        <v>36</v>
      </c>
      <c r="J70" s="48">
        <v>45836</v>
      </c>
      <c r="K70" s="48"/>
      <c r="L70" s="2"/>
      <c r="M70" s="41" t="b">
        <v>0</v>
      </c>
      <c r="N70" s="41" t="b">
        <v>0</v>
      </c>
      <c r="O70" s="41" t="b">
        <v>0</v>
      </c>
      <c r="P70" s="41" t="b">
        <v>1</v>
      </c>
    </row>
    <row r="71" spans="1:16">
      <c r="A71" s="40"/>
      <c r="B71" s="37">
        <v>69</v>
      </c>
      <c r="C71" s="2" t="s">
        <v>258</v>
      </c>
      <c r="D71" s="2" t="s">
        <v>259</v>
      </c>
      <c r="E71" s="43">
        <v>45832</v>
      </c>
      <c r="F71" s="42" t="s">
        <v>194</v>
      </c>
      <c r="G71" s="2">
        <v>35</v>
      </c>
      <c r="H71" s="2">
        <v>15</v>
      </c>
      <c r="I71" s="35">
        <v>20</v>
      </c>
      <c r="J71" s="48">
        <v>45834</v>
      </c>
      <c r="K71" s="48"/>
      <c r="L71" s="2"/>
      <c r="M71" s="41" t="b">
        <v>0</v>
      </c>
      <c r="N71" s="41" t="b">
        <v>0</v>
      </c>
      <c r="O71" s="41" t="b">
        <v>0</v>
      </c>
      <c r="P71" s="41" t="b">
        <v>1</v>
      </c>
    </row>
    <row r="72" spans="1:16">
      <c r="A72" s="40"/>
      <c r="B72" s="37">
        <v>70</v>
      </c>
      <c r="C72" s="2" t="s">
        <v>260</v>
      </c>
      <c r="D72" s="2" t="s">
        <v>261</v>
      </c>
      <c r="E72" s="43">
        <v>45833</v>
      </c>
      <c r="F72" s="42" t="s">
        <v>144</v>
      </c>
      <c r="G72" s="2">
        <v>66</v>
      </c>
      <c r="H72" s="2">
        <v>30</v>
      </c>
      <c r="I72" s="35">
        <v>36</v>
      </c>
      <c r="J72" s="48">
        <v>45838</v>
      </c>
      <c r="K72" s="48"/>
      <c r="L72" s="2"/>
      <c r="M72" s="41" t="b">
        <v>0</v>
      </c>
      <c r="N72" s="41" t="b">
        <v>0</v>
      </c>
      <c r="O72" s="41" t="b">
        <v>0</v>
      </c>
      <c r="P72" s="41" t="b">
        <v>1</v>
      </c>
    </row>
    <row r="73" spans="1:16">
      <c r="A73" s="40"/>
      <c r="B73" s="37">
        <v>71</v>
      </c>
      <c r="C73" s="2" t="s">
        <v>262</v>
      </c>
      <c r="D73" s="2" t="s">
        <v>263</v>
      </c>
      <c r="E73" s="43">
        <v>45833</v>
      </c>
      <c r="F73" s="42" t="s">
        <v>183</v>
      </c>
      <c r="G73" s="2">
        <v>544</v>
      </c>
      <c r="H73" s="2">
        <v>300</v>
      </c>
      <c r="I73" s="35">
        <v>244</v>
      </c>
      <c r="J73" s="48">
        <v>45840</v>
      </c>
      <c r="K73" s="48"/>
      <c r="L73" s="2"/>
      <c r="M73" s="41" t="b">
        <v>0</v>
      </c>
      <c r="N73" s="41" t="b">
        <v>0</v>
      </c>
      <c r="O73" s="41" t="b">
        <v>0</v>
      </c>
      <c r="P73" s="41" t="b">
        <v>1</v>
      </c>
    </row>
    <row r="74" spans="1:16">
      <c r="A74" s="40"/>
      <c r="B74" s="37">
        <v>72</v>
      </c>
      <c r="C74" s="2" t="s">
        <v>264</v>
      </c>
      <c r="D74" s="2" t="s">
        <v>265</v>
      </c>
      <c r="E74" s="43">
        <v>45834</v>
      </c>
      <c r="F74" s="42" t="s">
        <v>144</v>
      </c>
      <c r="G74" s="2">
        <v>66</v>
      </c>
      <c r="H74" s="2">
        <v>33</v>
      </c>
      <c r="I74" s="35">
        <v>33</v>
      </c>
      <c r="J74" s="48">
        <v>45838</v>
      </c>
      <c r="K74" s="48"/>
      <c r="L74" s="2"/>
      <c r="M74" s="41" t="b">
        <v>0</v>
      </c>
      <c r="N74" s="41" t="b">
        <v>0</v>
      </c>
      <c r="O74" s="41" t="b">
        <v>0</v>
      </c>
      <c r="P74" s="41" t="b">
        <v>1</v>
      </c>
    </row>
    <row r="75" spans="1:16">
      <c r="A75" s="40"/>
      <c r="B75" s="37">
        <v>73</v>
      </c>
      <c r="C75" s="2" t="s">
        <v>266</v>
      </c>
      <c r="D75" s="2" t="s">
        <v>267</v>
      </c>
      <c r="E75" s="43">
        <v>45835</v>
      </c>
      <c r="F75" s="42" t="s">
        <v>194</v>
      </c>
      <c r="G75" s="2">
        <v>121</v>
      </c>
      <c r="H75" s="2">
        <v>61</v>
      </c>
      <c r="I75" s="35">
        <v>60</v>
      </c>
      <c r="J75" s="48">
        <v>45839</v>
      </c>
      <c r="K75" s="48"/>
      <c r="L75" s="2"/>
      <c r="M75" s="41" t="b">
        <v>0</v>
      </c>
      <c r="N75" s="41" t="b">
        <v>0</v>
      </c>
      <c r="O75" s="41" t="b">
        <v>0</v>
      </c>
      <c r="P75" s="41" t="b">
        <v>1</v>
      </c>
    </row>
    <row r="76" spans="1:16">
      <c r="A76" s="40"/>
      <c r="B76" s="37">
        <v>74</v>
      </c>
      <c r="C76" s="2" t="s">
        <v>268</v>
      </c>
      <c r="D76" s="2" t="s">
        <v>269</v>
      </c>
      <c r="E76" s="43">
        <v>45835</v>
      </c>
      <c r="F76" s="42" t="s">
        <v>144</v>
      </c>
      <c r="G76" s="2">
        <v>90</v>
      </c>
      <c r="H76" s="2">
        <v>45</v>
      </c>
      <c r="I76" s="35">
        <v>45</v>
      </c>
      <c r="J76" s="48">
        <v>45839</v>
      </c>
      <c r="K76" s="48"/>
      <c r="L76" s="2"/>
      <c r="M76" s="41" t="b">
        <v>0</v>
      </c>
      <c r="N76" s="41" t="b">
        <v>0</v>
      </c>
      <c r="O76" s="41" t="b">
        <v>0</v>
      </c>
      <c r="P76" s="41" t="b">
        <v>1</v>
      </c>
    </row>
    <row r="77" spans="1:16">
      <c r="A77" s="40"/>
      <c r="B77" s="37">
        <v>75</v>
      </c>
      <c r="C77" s="2" t="s">
        <v>270</v>
      </c>
      <c r="D77" s="2" t="s">
        <v>271</v>
      </c>
      <c r="E77" s="43">
        <v>45835</v>
      </c>
      <c r="F77" s="42" t="s">
        <v>144</v>
      </c>
      <c r="G77" s="2">
        <v>154</v>
      </c>
      <c r="H77" s="2">
        <v>108</v>
      </c>
      <c r="I77" s="35">
        <v>46</v>
      </c>
      <c r="J77" s="48">
        <v>45838</v>
      </c>
      <c r="K77" s="48"/>
      <c r="L77" s="2"/>
      <c r="M77" s="41" t="b">
        <v>0</v>
      </c>
      <c r="N77" s="41" t="b">
        <v>0</v>
      </c>
      <c r="O77" s="41" t="b">
        <v>0</v>
      </c>
      <c r="P77" s="41" t="b">
        <v>1</v>
      </c>
    </row>
    <row r="78" spans="1:16">
      <c r="A78" s="40"/>
      <c r="B78" s="37">
        <v>76</v>
      </c>
      <c r="C78" s="2" t="s">
        <v>272</v>
      </c>
      <c r="D78" s="2" t="s">
        <v>273</v>
      </c>
      <c r="E78" s="43">
        <v>45835</v>
      </c>
      <c r="F78" s="42" t="s">
        <v>144</v>
      </c>
      <c r="G78" s="2">
        <v>308</v>
      </c>
      <c r="H78" s="2">
        <v>150</v>
      </c>
      <c r="I78" s="35">
        <v>158</v>
      </c>
      <c r="J78" s="48">
        <v>45838</v>
      </c>
      <c r="K78" s="48"/>
      <c r="L78" s="2"/>
      <c r="M78" s="41" t="b">
        <v>0</v>
      </c>
      <c r="N78" s="41" t="b">
        <v>0</v>
      </c>
      <c r="O78" s="41" t="b">
        <v>0</v>
      </c>
      <c r="P78" s="41" t="b">
        <v>1</v>
      </c>
    </row>
    <row r="79" spans="1:16">
      <c r="A79" s="40"/>
      <c r="B79" s="37">
        <v>77</v>
      </c>
      <c r="C79" s="2" t="s">
        <v>274</v>
      </c>
      <c r="D79" s="2" t="s">
        <v>275</v>
      </c>
      <c r="E79" s="43">
        <v>45835</v>
      </c>
      <c r="F79" s="42" t="s">
        <v>194</v>
      </c>
      <c r="G79" s="2">
        <v>113</v>
      </c>
      <c r="H79" s="2">
        <v>63</v>
      </c>
      <c r="I79" s="35">
        <v>50</v>
      </c>
      <c r="J79" s="48">
        <v>45840</v>
      </c>
      <c r="K79" s="48"/>
      <c r="L79" s="2"/>
      <c r="M79" s="41" t="b">
        <v>0</v>
      </c>
      <c r="N79" s="41" t="b">
        <v>0</v>
      </c>
      <c r="O79" s="41" t="b">
        <v>0</v>
      </c>
      <c r="P79" s="41" t="b">
        <v>1</v>
      </c>
    </row>
    <row r="80" spans="1:16">
      <c r="A80" s="40"/>
      <c r="B80" s="37">
        <v>78</v>
      </c>
      <c r="C80" s="2" t="s">
        <v>276</v>
      </c>
      <c r="D80" s="2" t="s">
        <v>277</v>
      </c>
      <c r="E80" s="43">
        <v>45835</v>
      </c>
      <c r="F80" s="42" t="s">
        <v>144</v>
      </c>
      <c r="G80" s="2">
        <v>123</v>
      </c>
      <c r="H80" s="2">
        <v>50</v>
      </c>
      <c r="I80" s="35">
        <v>73</v>
      </c>
      <c r="J80" s="48">
        <v>45839</v>
      </c>
      <c r="K80" s="48"/>
      <c r="L80" s="2"/>
      <c r="M80" s="41" t="b">
        <v>0</v>
      </c>
      <c r="N80" s="41" t="b">
        <v>0</v>
      </c>
      <c r="O80" s="41" t="b">
        <v>0</v>
      </c>
      <c r="P80" s="41" t="b">
        <v>1</v>
      </c>
    </row>
    <row r="81" spans="1:16">
      <c r="A81" s="40"/>
      <c r="B81" s="37">
        <v>79</v>
      </c>
      <c r="C81" s="2" t="s">
        <v>278</v>
      </c>
      <c r="D81" s="2" t="s">
        <v>279</v>
      </c>
      <c r="E81" s="43">
        <v>45835</v>
      </c>
      <c r="F81" s="42" t="s">
        <v>142</v>
      </c>
      <c r="G81" s="2">
        <v>54</v>
      </c>
      <c r="H81" s="2">
        <v>27</v>
      </c>
      <c r="I81" s="35">
        <v>27</v>
      </c>
      <c r="J81" s="48">
        <v>45839</v>
      </c>
      <c r="K81" s="48"/>
      <c r="L81" s="2"/>
      <c r="M81" s="41" t="b">
        <v>0</v>
      </c>
      <c r="N81" s="41" t="b">
        <v>0</v>
      </c>
      <c r="O81" s="41" t="b">
        <v>0</v>
      </c>
      <c r="P81" s="41" t="b">
        <v>1</v>
      </c>
    </row>
    <row r="82" spans="1:16">
      <c r="A82" s="40"/>
      <c r="B82" s="37">
        <v>80</v>
      </c>
      <c r="C82" s="2" t="s">
        <v>280</v>
      </c>
      <c r="D82" s="2" t="s">
        <v>281</v>
      </c>
      <c r="E82" s="43">
        <v>45835</v>
      </c>
      <c r="F82" s="42" t="s">
        <v>144</v>
      </c>
      <c r="G82" s="2">
        <v>54</v>
      </c>
      <c r="H82" s="2">
        <v>27</v>
      </c>
      <c r="I82" s="35">
        <v>27</v>
      </c>
      <c r="J82" s="48">
        <v>45839</v>
      </c>
      <c r="K82" s="48"/>
      <c r="L82" s="2"/>
      <c r="M82" s="41" t="b">
        <v>0</v>
      </c>
      <c r="N82" s="41" t="b">
        <v>0</v>
      </c>
      <c r="O82" s="41" t="b">
        <v>0</v>
      </c>
      <c r="P82" s="41" t="b">
        <v>1</v>
      </c>
    </row>
    <row r="83" spans="1:16">
      <c r="A83" s="40"/>
      <c r="B83" s="37">
        <v>81</v>
      </c>
      <c r="C83" s="2" t="s">
        <v>282</v>
      </c>
      <c r="D83" s="2" t="s">
        <v>283</v>
      </c>
      <c r="E83" s="43">
        <v>45835</v>
      </c>
      <c r="F83" s="42" t="s">
        <v>142</v>
      </c>
      <c r="G83" s="2">
        <v>181</v>
      </c>
      <c r="H83" s="2">
        <v>90</v>
      </c>
      <c r="I83" s="35">
        <v>91</v>
      </c>
      <c r="J83" s="48">
        <v>45840</v>
      </c>
      <c r="K83" s="48"/>
      <c r="L83" s="2"/>
      <c r="M83" s="41" t="b">
        <v>0</v>
      </c>
      <c r="N83" s="41" t="b">
        <v>0</v>
      </c>
      <c r="O83" s="41" t="b">
        <v>0</v>
      </c>
      <c r="P83" s="41" t="b">
        <v>1</v>
      </c>
    </row>
    <row r="84" spans="1:16">
      <c r="A84" s="40"/>
      <c r="B84" s="37">
        <v>82</v>
      </c>
      <c r="C84" s="2" t="s">
        <v>284</v>
      </c>
      <c r="D84" s="2" t="s">
        <v>285</v>
      </c>
      <c r="E84" s="43">
        <v>45835</v>
      </c>
      <c r="F84" s="42" t="s">
        <v>183</v>
      </c>
      <c r="G84" s="2">
        <v>88</v>
      </c>
      <c r="H84" s="2">
        <v>50</v>
      </c>
      <c r="I84" s="35">
        <v>38</v>
      </c>
      <c r="J84" s="48">
        <v>45840</v>
      </c>
      <c r="K84" s="48"/>
      <c r="L84" s="2"/>
      <c r="M84" s="41" t="b">
        <v>0</v>
      </c>
      <c r="N84" s="41" t="b">
        <v>0</v>
      </c>
      <c r="O84" s="41" t="b">
        <v>0</v>
      </c>
      <c r="P84" s="41" t="b">
        <v>1</v>
      </c>
    </row>
    <row r="85" spans="1:16">
      <c r="A85" s="40"/>
      <c r="B85" s="37">
        <v>83</v>
      </c>
      <c r="C85" s="2" t="s">
        <v>286</v>
      </c>
      <c r="D85" s="2" t="s">
        <v>287</v>
      </c>
      <c r="E85" s="43">
        <v>45836</v>
      </c>
      <c r="F85" s="42" t="s">
        <v>144</v>
      </c>
      <c r="G85" s="2">
        <v>269</v>
      </c>
      <c r="H85" s="2">
        <v>150</v>
      </c>
      <c r="I85" s="35">
        <v>119</v>
      </c>
      <c r="J85" s="48">
        <v>45840</v>
      </c>
      <c r="K85" s="48"/>
      <c r="L85" s="2"/>
      <c r="M85" s="41" t="b">
        <v>0</v>
      </c>
      <c r="N85" s="41" t="b">
        <v>0</v>
      </c>
      <c r="O85" s="41" t="b">
        <v>0</v>
      </c>
      <c r="P85" s="41" t="b">
        <v>1</v>
      </c>
    </row>
    <row r="86" spans="1:16">
      <c r="A86" s="40"/>
      <c r="B86" s="37">
        <v>84</v>
      </c>
      <c r="C86" s="2" t="s">
        <v>288</v>
      </c>
      <c r="D86" s="2" t="s">
        <v>289</v>
      </c>
      <c r="E86" s="43">
        <v>45836</v>
      </c>
      <c r="F86" s="42" t="s">
        <v>194</v>
      </c>
      <c r="G86" s="2">
        <v>318</v>
      </c>
      <c r="H86" s="2">
        <v>159</v>
      </c>
      <c r="I86" s="35">
        <v>159</v>
      </c>
      <c r="J86" s="48">
        <v>45843</v>
      </c>
      <c r="K86" s="48"/>
      <c r="L86" s="2"/>
      <c r="M86" s="41" t="b">
        <v>0</v>
      </c>
      <c r="N86" s="41" t="b">
        <v>0</v>
      </c>
      <c r="O86" s="41" t="b">
        <v>0</v>
      </c>
      <c r="P86" s="41" t="b">
        <v>1</v>
      </c>
    </row>
    <row r="87" spans="1:16">
      <c r="A87" s="40"/>
      <c r="B87" s="37">
        <v>85</v>
      </c>
      <c r="C87" s="2" t="s">
        <v>290</v>
      </c>
      <c r="D87" s="2" t="s">
        <v>291</v>
      </c>
      <c r="E87" s="43">
        <v>45836</v>
      </c>
      <c r="F87" s="42" t="s">
        <v>144</v>
      </c>
      <c r="G87" s="2">
        <v>288</v>
      </c>
      <c r="H87" s="2">
        <v>120</v>
      </c>
      <c r="I87" s="35">
        <v>168</v>
      </c>
      <c r="J87" s="48">
        <v>45841</v>
      </c>
      <c r="K87" s="48"/>
      <c r="L87" s="2"/>
      <c r="M87" s="41" t="b">
        <v>0</v>
      </c>
      <c r="N87" s="41" t="b">
        <v>0</v>
      </c>
      <c r="O87" s="41" t="b">
        <v>0</v>
      </c>
      <c r="P87" s="41" t="b">
        <v>1</v>
      </c>
    </row>
    <row r="88" spans="1:16">
      <c r="A88" s="40"/>
      <c r="B88" s="37">
        <v>86</v>
      </c>
      <c r="C88" s="2" t="s">
        <v>292</v>
      </c>
      <c r="D88" s="2" t="s">
        <v>293</v>
      </c>
      <c r="E88" s="43">
        <v>45836</v>
      </c>
      <c r="F88" s="42" t="s">
        <v>144</v>
      </c>
      <c r="G88" s="2">
        <v>66</v>
      </c>
      <c r="H88" s="2">
        <v>33</v>
      </c>
      <c r="I88" s="35">
        <v>33</v>
      </c>
      <c r="J88" s="48">
        <v>45839</v>
      </c>
      <c r="K88" s="48"/>
      <c r="L88" s="2"/>
      <c r="M88" s="41" t="b">
        <v>0</v>
      </c>
      <c r="N88" s="41" t="b">
        <v>0</v>
      </c>
      <c r="O88" s="41" t="b">
        <v>0</v>
      </c>
      <c r="P88" s="41" t="b">
        <v>1</v>
      </c>
    </row>
    <row r="89" spans="1:16">
      <c r="A89" s="40"/>
      <c r="B89" s="37">
        <v>87</v>
      </c>
      <c r="C89" s="2" t="s">
        <v>294</v>
      </c>
      <c r="D89" s="2" t="s">
        <v>295</v>
      </c>
      <c r="E89" s="43">
        <v>45836</v>
      </c>
      <c r="F89" s="42" t="s">
        <v>183</v>
      </c>
      <c r="G89" s="2">
        <v>88</v>
      </c>
      <c r="H89" s="2">
        <v>0</v>
      </c>
      <c r="I89" s="35">
        <v>88</v>
      </c>
      <c r="J89" s="48">
        <v>45839</v>
      </c>
      <c r="K89" s="48"/>
      <c r="L89" s="2"/>
      <c r="M89" s="41" t="b">
        <v>0</v>
      </c>
      <c r="N89" s="41" t="b">
        <v>0</v>
      </c>
      <c r="O89" s="41" t="b">
        <v>0</v>
      </c>
      <c r="P89" s="41" t="b">
        <v>1</v>
      </c>
    </row>
    <row r="90" spans="1:16">
      <c r="A90" s="40"/>
      <c r="B90" s="37">
        <v>88</v>
      </c>
      <c r="C90" s="2" t="s">
        <v>296</v>
      </c>
      <c r="D90" s="2" t="s">
        <v>297</v>
      </c>
      <c r="E90" s="43">
        <v>45836</v>
      </c>
      <c r="F90" s="42" t="s">
        <v>142</v>
      </c>
      <c r="G90" s="2">
        <v>358</v>
      </c>
      <c r="H90" s="2">
        <v>179</v>
      </c>
      <c r="I90" s="35">
        <v>179</v>
      </c>
      <c r="J90" s="48">
        <v>45839</v>
      </c>
      <c r="K90" s="48"/>
      <c r="L90" s="2"/>
      <c r="M90" s="41" t="b">
        <v>0</v>
      </c>
      <c r="N90" s="41" t="b">
        <v>0</v>
      </c>
      <c r="O90" s="41" t="b">
        <v>0</v>
      </c>
      <c r="P90" s="41" t="b">
        <v>1</v>
      </c>
    </row>
    <row r="91" spans="1:16">
      <c r="A91" s="40"/>
      <c r="B91" s="37">
        <v>89</v>
      </c>
      <c r="C91" s="2" t="s">
        <v>298</v>
      </c>
      <c r="D91" s="2" t="s">
        <v>299</v>
      </c>
      <c r="E91" s="43">
        <v>45836</v>
      </c>
      <c r="F91" s="42" t="s">
        <v>183</v>
      </c>
      <c r="G91" s="2">
        <v>34</v>
      </c>
      <c r="H91" s="2">
        <v>17</v>
      </c>
      <c r="I91" s="35">
        <v>17</v>
      </c>
      <c r="J91" s="48">
        <v>45843</v>
      </c>
      <c r="K91" s="48"/>
      <c r="L91" s="2"/>
      <c r="M91" s="41" t="b">
        <v>0</v>
      </c>
      <c r="N91" s="41" t="b">
        <v>0</v>
      </c>
      <c r="O91" s="41" t="b">
        <v>0</v>
      </c>
      <c r="P91" s="41" t="b">
        <v>1</v>
      </c>
    </row>
    <row r="92" spans="1:16">
      <c r="A92" s="40"/>
      <c r="B92" s="37">
        <v>90</v>
      </c>
      <c r="C92" s="2" t="s">
        <v>300</v>
      </c>
      <c r="D92" s="2" t="s">
        <v>301</v>
      </c>
      <c r="E92" s="43">
        <v>45837</v>
      </c>
      <c r="F92" s="42" t="s">
        <v>144</v>
      </c>
      <c r="G92" s="2">
        <v>228</v>
      </c>
      <c r="H92" s="2">
        <v>140</v>
      </c>
      <c r="I92" s="35">
        <v>88</v>
      </c>
      <c r="J92" s="48">
        <v>45838</v>
      </c>
      <c r="K92" s="48"/>
      <c r="L92" s="2"/>
      <c r="M92" s="41" t="b">
        <v>0</v>
      </c>
      <c r="N92" s="41" t="b">
        <v>0</v>
      </c>
      <c r="O92" s="41" t="b">
        <v>0</v>
      </c>
      <c r="P92" s="41" t="b">
        <v>1</v>
      </c>
    </row>
    <row r="93" spans="1:16">
      <c r="A93" s="40"/>
      <c r="B93" s="37">
        <v>91</v>
      </c>
      <c r="C93" s="2" t="s">
        <v>302</v>
      </c>
      <c r="D93" s="2" t="s">
        <v>303</v>
      </c>
      <c r="E93" s="43">
        <v>45837</v>
      </c>
      <c r="F93" s="42" t="s">
        <v>142</v>
      </c>
      <c r="G93" s="2">
        <v>60</v>
      </c>
      <c r="H93" s="2">
        <v>30</v>
      </c>
      <c r="I93" s="35">
        <v>30</v>
      </c>
      <c r="J93" s="48">
        <v>45840</v>
      </c>
      <c r="K93" s="48"/>
      <c r="L93" s="2"/>
      <c r="M93" s="41" t="b">
        <v>0</v>
      </c>
      <c r="N93" s="41" t="b">
        <v>0</v>
      </c>
      <c r="O93" s="41" t="b">
        <v>0</v>
      </c>
      <c r="P93" s="41" t="b">
        <v>1</v>
      </c>
    </row>
    <row r="94" spans="1:16">
      <c r="A94" s="40"/>
      <c r="B94" s="37">
        <v>92</v>
      </c>
      <c r="C94" s="2" t="s">
        <v>304</v>
      </c>
      <c r="D94" s="2" t="s">
        <v>305</v>
      </c>
      <c r="E94" s="43">
        <v>45837</v>
      </c>
      <c r="F94" s="42" t="s">
        <v>183</v>
      </c>
      <c r="G94" s="2">
        <v>76</v>
      </c>
      <c r="H94" s="2">
        <v>38</v>
      </c>
      <c r="I94" s="35">
        <v>38</v>
      </c>
      <c r="J94" s="48">
        <v>45841</v>
      </c>
      <c r="K94" s="48"/>
      <c r="L94" s="2"/>
      <c r="M94" s="41" t="b">
        <v>0</v>
      </c>
      <c r="N94" s="41" t="b">
        <v>0</v>
      </c>
      <c r="O94" s="41" t="b">
        <v>0</v>
      </c>
      <c r="P94" s="41" t="b">
        <v>1</v>
      </c>
    </row>
    <row r="95" spans="1:16">
      <c r="A95" s="40"/>
      <c r="B95" s="37">
        <v>93</v>
      </c>
      <c r="C95" s="2" t="s">
        <v>306</v>
      </c>
      <c r="D95" s="2" t="s">
        <v>307</v>
      </c>
      <c r="E95" s="43">
        <v>45837</v>
      </c>
      <c r="F95" s="42" t="s">
        <v>144</v>
      </c>
      <c r="G95" s="2">
        <v>76</v>
      </c>
      <c r="H95" s="2">
        <v>20</v>
      </c>
      <c r="I95" s="35">
        <v>56</v>
      </c>
      <c r="J95" s="48">
        <v>45840</v>
      </c>
      <c r="K95" s="48"/>
      <c r="L95" s="2"/>
      <c r="M95" s="41" t="b">
        <v>0</v>
      </c>
      <c r="N95" s="41" t="b">
        <v>0</v>
      </c>
      <c r="O95" s="41" t="b">
        <v>0</v>
      </c>
      <c r="P95" s="41" t="b">
        <v>1</v>
      </c>
    </row>
    <row r="96" spans="1:16">
      <c r="A96" s="40"/>
      <c r="B96" s="37">
        <v>94</v>
      </c>
      <c r="C96" s="2" t="s">
        <v>308</v>
      </c>
      <c r="D96" s="2" t="s">
        <v>309</v>
      </c>
      <c r="E96" s="43">
        <v>45837</v>
      </c>
      <c r="F96" s="42" t="s">
        <v>144</v>
      </c>
      <c r="G96" s="2">
        <v>110</v>
      </c>
      <c r="H96" s="2">
        <v>50</v>
      </c>
      <c r="I96" s="35">
        <v>60</v>
      </c>
      <c r="J96" s="48">
        <v>45839</v>
      </c>
      <c r="K96" s="48"/>
      <c r="L96" s="2"/>
      <c r="M96" s="41" t="b">
        <v>0</v>
      </c>
      <c r="N96" s="41" t="b">
        <v>0</v>
      </c>
      <c r="O96" s="41" t="b">
        <v>0</v>
      </c>
      <c r="P96" s="41" t="b">
        <v>1</v>
      </c>
    </row>
    <row r="97" spans="1:16">
      <c r="A97" s="40"/>
      <c r="B97" s="37">
        <v>95</v>
      </c>
      <c r="C97" s="2" t="s">
        <v>310</v>
      </c>
      <c r="D97" s="2" t="s">
        <v>311</v>
      </c>
      <c r="E97" s="43">
        <v>45837</v>
      </c>
      <c r="F97" s="42" t="s">
        <v>144</v>
      </c>
      <c r="G97" s="2">
        <v>211</v>
      </c>
      <c r="H97" s="2">
        <v>94.5</v>
      </c>
      <c r="I97" s="35">
        <v>116.5</v>
      </c>
      <c r="J97" s="48">
        <v>45841</v>
      </c>
      <c r="K97" s="48"/>
      <c r="L97" s="2"/>
      <c r="M97" s="41" t="b">
        <v>0</v>
      </c>
      <c r="N97" s="41" t="b">
        <v>0</v>
      </c>
      <c r="O97" s="41" t="b">
        <v>0</v>
      </c>
      <c r="P97" s="41" t="b">
        <v>1</v>
      </c>
    </row>
    <row r="98" spans="1:16">
      <c r="A98" s="40"/>
      <c r="B98" s="37">
        <v>96</v>
      </c>
      <c r="C98" s="2" t="s">
        <v>312</v>
      </c>
      <c r="D98" s="2" t="s">
        <v>313</v>
      </c>
      <c r="E98" s="43">
        <v>45837</v>
      </c>
      <c r="F98" s="42" t="s">
        <v>142</v>
      </c>
      <c r="G98" s="2">
        <v>66</v>
      </c>
      <c r="H98" s="2">
        <v>33</v>
      </c>
      <c r="I98" s="35">
        <v>33</v>
      </c>
      <c r="J98" s="48">
        <v>45840</v>
      </c>
      <c r="K98" s="48"/>
      <c r="L98" s="2"/>
      <c r="M98" s="41" t="b">
        <v>0</v>
      </c>
      <c r="N98" s="41" t="b">
        <v>0</v>
      </c>
      <c r="O98" s="41" t="b">
        <v>0</v>
      </c>
      <c r="P98" s="41" t="b">
        <v>1</v>
      </c>
    </row>
    <row r="99" spans="1:16">
      <c r="A99" s="40"/>
      <c r="B99" s="37">
        <v>97</v>
      </c>
      <c r="C99" s="2" t="s">
        <v>314</v>
      </c>
      <c r="D99" s="2" t="s">
        <v>315</v>
      </c>
      <c r="E99" s="43">
        <v>45838</v>
      </c>
      <c r="F99" s="42" t="s">
        <v>144</v>
      </c>
      <c r="G99" s="2">
        <v>198</v>
      </c>
      <c r="H99" s="2">
        <v>99</v>
      </c>
      <c r="I99" s="35">
        <v>99</v>
      </c>
      <c r="J99" s="48">
        <v>45839</v>
      </c>
      <c r="K99" s="48"/>
      <c r="L99" s="2"/>
      <c r="M99" s="41" t="b">
        <v>0</v>
      </c>
      <c r="N99" s="41" t="b">
        <v>0</v>
      </c>
      <c r="O99" s="41" t="b">
        <v>0</v>
      </c>
      <c r="P99" s="41" t="b">
        <v>1</v>
      </c>
    </row>
    <row r="100" spans="1:16">
      <c r="A100" s="40"/>
      <c r="B100" s="37">
        <v>98</v>
      </c>
      <c r="C100" s="2" t="s">
        <v>316</v>
      </c>
      <c r="D100" s="2" t="s">
        <v>317</v>
      </c>
      <c r="E100" s="43">
        <v>45838</v>
      </c>
      <c r="F100" s="42" t="s">
        <v>144</v>
      </c>
      <c r="G100" s="2">
        <v>113</v>
      </c>
      <c r="H100" s="2">
        <v>50</v>
      </c>
      <c r="I100" s="35">
        <v>63</v>
      </c>
      <c r="J100" s="48">
        <v>45840</v>
      </c>
      <c r="K100" s="48"/>
      <c r="L100" s="2"/>
      <c r="M100" s="41" t="b">
        <v>0</v>
      </c>
      <c r="N100" s="41" t="b">
        <v>0</v>
      </c>
      <c r="O100" s="41" t="b">
        <v>0</v>
      </c>
      <c r="P100" s="41" t="b">
        <v>1</v>
      </c>
    </row>
    <row r="101" spans="1:16">
      <c r="A101" s="40"/>
      <c r="B101" s="37">
        <v>99</v>
      </c>
      <c r="C101" s="2" t="s">
        <v>318</v>
      </c>
      <c r="D101" s="2" t="s">
        <v>319</v>
      </c>
      <c r="E101" s="43">
        <v>45838</v>
      </c>
      <c r="F101" s="42" t="s">
        <v>142</v>
      </c>
      <c r="G101" s="2">
        <v>120</v>
      </c>
      <c r="H101" s="2">
        <v>60</v>
      </c>
      <c r="I101" s="35">
        <v>60</v>
      </c>
      <c r="J101" s="48">
        <v>45840</v>
      </c>
      <c r="K101" s="48"/>
      <c r="L101" s="2"/>
      <c r="M101" s="41" t="b">
        <v>0</v>
      </c>
      <c r="N101" s="41" t="b">
        <v>0</v>
      </c>
      <c r="O101" s="41" t="b">
        <v>0</v>
      </c>
      <c r="P101" s="41" t="b">
        <v>1</v>
      </c>
    </row>
    <row r="102" spans="1:16">
      <c r="A102" s="40"/>
      <c r="B102" s="37">
        <v>100</v>
      </c>
      <c r="C102" s="2" t="s">
        <v>320</v>
      </c>
      <c r="D102" s="2" t="s">
        <v>321</v>
      </c>
      <c r="E102" s="43">
        <v>45838</v>
      </c>
      <c r="F102" s="42" t="s">
        <v>142</v>
      </c>
      <c r="G102" s="2">
        <v>138</v>
      </c>
      <c r="H102" s="2">
        <v>70</v>
      </c>
      <c r="I102" s="35">
        <v>68</v>
      </c>
      <c r="J102" s="48">
        <v>45842</v>
      </c>
      <c r="K102" s="48"/>
      <c r="L102" s="2"/>
      <c r="M102" s="41" t="b">
        <v>0</v>
      </c>
      <c r="N102" s="41" t="b">
        <v>0</v>
      </c>
      <c r="O102" s="41" t="b">
        <v>0</v>
      </c>
      <c r="P102" s="41" t="b">
        <v>1</v>
      </c>
    </row>
    <row r="103" spans="1:16">
      <c r="A103" s="40"/>
      <c r="B103" s="37">
        <v>101</v>
      </c>
      <c r="C103" s="2" t="s">
        <v>322</v>
      </c>
      <c r="D103" s="2" t="s">
        <v>323</v>
      </c>
      <c r="E103" s="43">
        <v>45838</v>
      </c>
      <c r="F103" s="42" t="s">
        <v>183</v>
      </c>
      <c r="G103" s="2">
        <v>110</v>
      </c>
      <c r="H103" s="2">
        <v>55</v>
      </c>
      <c r="I103" s="35">
        <v>55</v>
      </c>
      <c r="J103" s="48">
        <v>45841</v>
      </c>
      <c r="K103" s="48"/>
      <c r="L103" s="2"/>
      <c r="M103" s="41" t="b">
        <v>0</v>
      </c>
      <c r="N103" s="41" t="b">
        <v>0</v>
      </c>
      <c r="O103" s="41" t="b">
        <v>0</v>
      </c>
      <c r="P103" s="41" t="b">
        <v>1</v>
      </c>
    </row>
    <row r="104" spans="1:16">
      <c r="A104" s="40"/>
      <c r="B104" s="37">
        <v>102</v>
      </c>
      <c r="C104" s="2" t="s">
        <v>324</v>
      </c>
      <c r="D104" s="2" t="s">
        <v>325</v>
      </c>
      <c r="E104" s="43">
        <v>45838</v>
      </c>
      <c r="F104" s="42" t="s">
        <v>142</v>
      </c>
      <c r="G104" s="2">
        <v>70</v>
      </c>
      <c r="H104" s="2">
        <v>35</v>
      </c>
      <c r="I104" s="35">
        <v>35</v>
      </c>
      <c r="J104" s="48">
        <v>45841</v>
      </c>
      <c r="K104" s="48"/>
      <c r="L104" s="2"/>
      <c r="M104" s="41" t="b">
        <v>0</v>
      </c>
      <c r="N104" s="41" t="b">
        <v>0</v>
      </c>
      <c r="O104" s="41" t="b">
        <v>0</v>
      </c>
      <c r="P104" s="41" t="b">
        <v>1</v>
      </c>
    </row>
    <row r="105" spans="1:16">
      <c r="A105" s="40"/>
      <c r="B105" s="37">
        <v>103</v>
      </c>
      <c r="C105" s="2" t="s">
        <v>326</v>
      </c>
      <c r="D105" s="2" t="s">
        <v>327</v>
      </c>
      <c r="E105" s="43">
        <v>45838</v>
      </c>
      <c r="F105" s="42" t="s">
        <v>142</v>
      </c>
      <c r="G105" s="2">
        <v>60</v>
      </c>
      <c r="H105" s="2">
        <v>30</v>
      </c>
      <c r="I105" s="35">
        <v>30</v>
      </c>
      <c r="J105" s="48">
        <v>45840</v>
      </c>
      <c r="K105" s="48"/>
      <c r="L105" s="2"/>
      <c r="M105" s="41" t="b">
        <v>0</v>
      </c>
      <c r="N105" s="41" t="b">
        <v>0</v>
      </c>
      <c r="O105" s="41" t="b">
        <v>0</v>
      </c>
      <c r="P105" s="41" t="b">
        <v>1</v>
      </c>
    </row>
    <row r="106" spans="1:16">
      <c r="A106" s="40"/>
      <c r="B106" s="37">
        <v>104</v>
      </c>
      <c r="C106" s="46" t="s">
        <v>328</v>
      </c>
      <c r="D106" s="2" t="s">
        <v>329</v>
      </c>
      <c r="E106" s="43">
        <v>45839</v>
      </c>
      <c r="F106" s="42" t="s">
        <v>142</v>
      </c>
      <c r="G106" s="2">
        <v>62</v>
      </c>
      <c r="H106" s="2">
        <v>30</v>
      </c>
      <c r="I106" s="35">
        <v>32</v>
      </c>
      <c r="J106" s="48">
        <v>45821</v>
      </c>
      <c r="K106" s="48"/>
      <c r="L106" s="2"/>
      <c r="M106" s="41" t="b">
        <v>0</v>
      </c>
      <c r="N106" s="41" t="b">
        <v>0</v>
      </c>
      <c r="O106" s="41" t="b">
        <v>0</v>
      </c>
      <c r="P106" s="41" t="b">
        <v>1</v>
      </c>
    </row>
    <row r="107" spans="1:16">
      <c r="A107" s="40"/>
      <c r="B107" s="37">
        <v>105</v>
      </c>
      <c r="C107" s="2" t="s">
        <v>330</v>
      </c>
      <c r="D107" s="2" t="s">
        <v>331</v>
      </c>
      <c r="E107" s="43">
        <v>45839</v>
      </c>
      <c r="F107" s="42" t="s">
        <v>183</v>
      </c>
      <c r="G107" s="2">
        <v>33</v>
      </c>
      <c r="H107" s="2">
        <v>17</v>
      </c>
      <c r="I107" s="35">
        <v>16</v>
      </c>
      <c r="J107" s="48">
        <v>45821</v>
      </c>
      <c r="K107" s="48"/>
      <c r="L107" s="2"/>
      <c r="M107" s="41" t="b">
        <v>0</v>
      </c>
      <c r="N107" s="41" t="b">
        <v>0</v>
      </c>
      <c r="O107" s="41" t="b">
        <v>0</v>
      </c>
      <c r="P107" s="41" t="b">
        <v>1</v>
      </c>
    </row>
    <row r="108" spans="1:16">
      <c r="A108" s="40"/>
      <c r="B108" s="37">
        <v>106</v>
      </c>
      <c r="C108" s="2" t="s">
        <v>332</v>
      </c>
      <c r="D108" s="2" t="s">
        <v>333</v>
      </c>
      <c r="E108" s="43">
        <v>45839</v>
      </c>
      <c r="F108" s="42" t="s">
        <v>144</v>
      </c>
      <c r="G108" s="2">
        <v>861</v>
      </c>
      <c r="H108" s="2">
        <v>426</v>
      </c>
      <c r="I108" s="35">
        <v>435</v>
      </c>
      <c r="J108" s="48">
        <v>45818</v>
      </c>
      <c r="K108" s="48"/>
      <c r="L108" s="2"/>
      <c r="M108" s="41" t="b">
        <v>0</v>
      </c>
      <c r="N108" s="41" t="b">
        <v>0</v>
      </c>
      <c r="O108" s="41" t="b">
        <v>0</v>
      </c>
      <c r="P108" s="41" t="b">
        <v>1</v>
      </c>
    </row>
    <row r="109" spans="1:16">
      <c r="A109" s="40"/>
      <c r="B109" s="37">
        <v>107</v>
      </c>
      <c r="C109" s="2" t="s">
        <v>334</v>
      </c>
      <c r="D109" s="2" t="s">
        <v>335</v>
      </c>
      <c r="E109" s="43">
        <v>45839</v>
      </c>
      <c r="F109" s="42" t="s">
        <v>142</v>
      </c>
      <c r="G109" s="2">
        <v>246</v>
      </c>
      <c r="H109" s="2">
        <v>123</v>
      </c>
      <c r="I109" s="35">
        <v>123</v>
      </c>
      <c r="J109" s="48">
        <v>45822</v>
      </c>
      <c r="K109" s="48"/>
      <c r="L109" s="2"/>
      <c r="M109" s="41" t="b">
        <v>0</v>
      </c>
      <c r="N109" s="41" t="b">
        <v>0</v>
      </c>
      <c r="O109" s="41" t="b">
        <v>0</v>
      </c>
      <c r="P109" s="41" t="b">
        <v>1</v>
      </c>
    </row>
    <row r="110" spans="1:16">
      <c r="A110" s="40"/>
      <c r="B110" s="37">
        <v>108</v>
      </c>
      <c r="C110" s="2" t="s">
        <v>336</v>
      </c>
      <c r="D110" s="2" t="s">
        <v>337</v>
      </c>
      <c r="E110" s="43">
        <v>45839</v>
      </c>
      <c r="F110" s="42" t="s">
        <v>144</v>
      </c>
      <c r="G110" s="2">
        <v>57</v>
      </c>
      <c r="H110" s="2">
        <v>28.5</v>
      </c>
      <c r="I110" s="35">
        <v>28.5</v>
      </c>
      <c r="J110" s="48">
        <v>45820</v>
      </c>
      <c r="K110" s="48"/>
      <c r="L110" s="2"/>
      <c r="M110" s="41" t="b">
        <v>0</v>
      </c>
      <c r="N110" s="41" t="b">
        <v>0</v>
      </c>
      <c r="O110" s="41" t="b">
        <v>0</v>
      </c>
      <c r="P110" s="41" t="b">
        <v>1</v>
      </c>
    </row>
    <row r="111" spans="1:16">
      <c r="A111" s="40"/>
      <c r="B111" s="37">
        <v>109</v>
      </c>
      <c r="C111" s="2" t="s">
        <v>338</v>
      </c>
      <c r="D111" s="2" t="s">
        <v>339</v>
      </c>
      <c r="E111" s="43">
        <v>45839</v>
      </c>
      <c r="F111" s="42" t="s">
        <v>144</v>
      </c>
      <c r="G111" s="2">
        <v>380</v>
      </c>
      <c r="H111" s="2">
        <v>190</v>
      </c>
      <c r="I111" s="35">
        <v>190</v>
      </c>
      <c r="J111" s="48">
        <v>45820</v>
      </c>
      <c r="K111" s="48"/>
      <c r="L111" s="2"/>
      <c r="M111" s="41" t="b">
        <v>0</v>
      </c>
      <c r="N111" s="41" t="b">
        <v>0</v>
      </c>
      <c r="O111" s="41" t="b">
        <v>0</v>
      </c>
      <c r="P111" s="41" t="b">
        <v>1</v>
      </c>
    </row>
    <row r="112" spans="1:16">
      <c r="A112" s="40"/>
      <c r="B112" s="37">
        <v>110</v>
      </c>
      <c r="C112" s="2" t="s">
        <v>340</v>
      </c>
      <c r="D112" s="2" t="s">
        <v>341</v>
      </c>
      <c r="E112" s="43">
        <v>45839</v>
      </c>
      <c r="F112" s="42" t="s">
        <v>142</v>
      </c>
      <c r="G112" s="2">
        <v>33</v>
      </c>
      <c r="H112" s="2">
        <v>16.5</v>
      </c>
      <c r="I112" s="35">
        <v>16.5</v>
      </c>
      <c r="J112" s="48">
        <v>45820</v>
      </c>
      <c r="K112" s="50"/>
      <c r="L112" s="41" t="b">
        <v>0</v>
      </c>
      <c r="M112" s="41" t="b">
        <v>0</v>
      </c>
      <c r="N112" s="41" t="b">
        <v>0</v>
      </c>
      <c r="O112" s="41" t="b">
        <v>0</v>
      </c>
      <c r="P112" s="41" t="b">
        <v>1</v>
      </c>
    </row>
    <row r="113" spans="1:16">
      <c r="A113" s="40"/>
      <c r="B113" s="37">
        <v>111</v>
      </c>
      <c r="C113" s="2" t="s">
        <v>342</v>
      </c>
      <c r="D113" s="2" t="s">
        <v>343</v>
      </c>
      <c r="E113" s="43">
        <v>45839</v>
      </c>
      <c r="F113" s="42" t="s">
        <v>144</v>
      </c>
      <c r="G113" s="2">
        <v>70</v>
      </c>
      <c r="H113" s="2">
        <v>35</v>
      </c>
      <c r="I113" s="2">
        <v>35</v>
      </c>
      <c r="J113" s="47">
        <v>45842</v>
      </c>
      <c r="K113" s="48"/>
      <c r="L113" s="2"/>
      <c r="M113" s="41" t="b">
        <v>0</v>
      </c>
      <c r="N113" s="41" t="b">
        <v>0</v>
      </c>
      <c r="O113" s="41" t="b">
        <v>0</v>
      </c>
      <c r="P113" s="41" t="b">
        <v>1</v>
      </c>
    </row>
    <row r="114" spans="1:16">
      <c r="A114" s="40"/>
      <c r="B114" s="37">
        <v>112</v>
      </c>
      <c r="C114" s="2" t="s">
        <v>344</v>
      </c>
      <c r="D114" s="2" t="s">
        <v>345</v>
      </c>
      <c r="E114" s="43">
        <v>45839</v>
      </c>
      <c r="F114" s="42" t="s">
        <v>142</v>
      </c>
      <c r="G114" s="2">
        <v>50</v>
      </c>
      <c r="H114" s="2">
        <v>25</v>
      </c>
      <c r="I114" s="2">
        <v>25</v>
      </c>
      <c r="J114" s="47">
        <v>45841</v>
      </c>
      <c r="K114" s="48"/>
      <c r="L114" s="2"/>
      <c r="M114" s="41" t="b">
        <v>0</v>
      </c>
      <c r="N114" s="41" t="b">
        <v>0</v>
      </c>
      <c r="O114" s="41" t="b">
        <v>0</v>
      </c>
      <c r="P114" s="41" t="b">
        <v>1</v>
      </c>
    </row>
    <row r="115" spans="1:16">
      <c r="A115" s="40"/>
      <c r="B115" s="37">
        <v>113</v>
      </c>
      <c r="C115" s="2" t="s">
        <v>346</v>
      </c>
      <c r="D115" s="2" t="s">
        <v>347</v>
      </c>
      <c r="E115" s="43">
        <v>45839</v>
      </c>
      <c r="F115" s="42" t="s">
        <v>144</v>
      </c>
      <c r="G115" s="2">
        <v>142</v>
      </c>
      <c r="H115" s="2">
        <v>71</v>
      </c>
      <c r="I115" s="2">
        <v>71</v>
      </c>
      <c r="J115" s="47">
        <v>45843</v>
      </c>
      <c r="K115" s="48"/>
      <c r="L115" s="41" t="b">
        <v>0</v>
      </c>
      <c r="M115" s="41" t="b">
        <v>0</v>
      </c>
      <c r="N115" s="41" t="b">
        <v>0</v>
      </c>
      <c r="O115" s="41" t="b">
        <v>0</v>
      </c>
      <c r="P115" s="41" t="b">
        <v>1</v>
      </c>
    </row>
    <row r="116" spans="1:16">
      <c r="A116" s="40"/>
      <c r="B116" s="37">
        <v>114</v>
      </c>
      <c r="C116" s="46" t="s">
        <v>348</v>
      </c>
      <c r="D116" s="2" t="s">
        <v>349</v>
      </c>
      <c r="E116" s="43">
        <v>45839</v>
      </c>
      <c r="F116" s="42" t="s">
        <v>142</v>
      </c>
      <c r="G116" s="2">
        <v>60</v>
      </c>
      <c r="H116" s="2">
        <v>30</v>
      </c>
      <c r="I116" s="2">
        <v>30</v>
      </c>
      <c r="J116" s="47">
        <v>45841</v>
      </c>
      <c r="K116" s="48"/>
      <c r="L116" s="2"/>
      <c r="M116" s="41" t="b">
        <v>0</v>
      </c>
      <c r="N116" s="41" t="b">
        <v>0</v>
      </c>
      <c r="O116" s="41" t="b">
        <v>0</v>
      </c>
      <c r="P116" s="41" t="b">
        <v>1</v>
      </c>
    </row>
    <row r="117" spans="1:16">
      <c r="A117" s="40"/>
      <c r="B117" s="37">
        <v>115</v>
      </c>
      <c r="C117" s="2" t="s">
        <v>350</v>
      </c>
      <c r="D117" s="2" t="s">
        <v>351</v>
      </c>
      <c r="E117" s="43">
        <v>45839</v>
      </c>
      <c r="F117" s="42" t="s">
        <v>144</v>
      </c>
      <c r="G117" s="2">
        <v>797</v>
      </c>
      <c r="H117" s="2">
        <v>398.5</v>
      </c>
      <c r="I117" s="2">
        <v>398.5</v>
      </c>
      <c r="J117" s="47">
        <v>45842</v>
      </c>
      <c r="K117" s="48"/>
      <c r="L117" s="41" t="b">
        <v>0</v>
      </c>
      <c r="M117" s="41" t="b">
        <v>0</v>
      </c>
      <c r="N117" s="41" t="b">
        <v>0</v>
      </c>
      <c r="O117" s="41" t="b">
        <v>0</v>
      </c>
      <c r="P117" s="41" t="b">
        <v>1</v>
      </c>
    </row>
    <row r="118" spans="1:16">
      <c r="A118" s="40"/>
      <c r="B118" s="37">
        <v>116</v>
      </c>
      <c r="C118" s="2" t="s">
        <v>352</v>
      </c>
      <c r="D118" s="2" t="s">
        <v>353</v>
      </c>
      <c r="E118" s="43">
        <v>45839</v>
      </c>
      <c r="F118" s="42" t="s">
        <v>183</v>
      </c>
      <c r="G118" s="2">
        <v>56</v>
      </c>
      <c r="H118" s="2">
        <v>28</v>
      </c>
      <c r="I118" s="2">
        <v>28</v>
      </c>
      <c r="J118" s="47">
        <v>45842</v>
      </c>
      <c r="K118" s="48"/>
      <c r="L118" s="2"/>
      <c r="M118" s="41" t="b">
        <v>0</v>
      </c>
      <c r="N118" s="41" t="b">
        <v>0</v>
      </c>
      <c r="O118" s="41" t="b">
        <v>0</v>
      </c>
      <c r="P118" s="41" t="b">
        <v>1</v>
      </c>
    </row>
    <row r="119" spans="1:16">
      <c r="A119" s="40"/>
      <c r="B119" s="37">
        <v>117</v>
      </c>
      <c r="C119" s="2" t="s">
        <v>354</v>
      </c>
      <c r="D119" s="2" t="s">
        <v>355</v>
      </c>
      <c r="E119" s="43">
        <v>45839</v>
      </c>
      <c r="F119" s="42" t="s">
        <v>144</v>
      </c>
      <c r="G119" s="2">
        <v>60</v>
      </c>
      <c r="H119" s="2">
        <v>30</v>
      </c>
      <c r="I119" s="2">
        <v>30</v>
      </c>
      <c r="J119" s="47">
        <v>45842</v>
      </c>
      <c r="K119" s="48"/>
      <c r="L119" s="41" t="b">
        <v>0</v>
      </c>
      <c r="M119" s="41" t="b">
        <v>0</v>
      </c>
      <c r="N119" s="41" t="b">
        <v>0</v>
      </c>
      <c r="O119" s="41" t="b">
        <v>0</v>
      </c>
      <c r="P119" s="41" t="b">
        <v>1</v>
      </c>
    </row>
    <row r="120" spans="1:16">
      <c r="A120" s="40"/>
      <c r="B120" s="37">
        <v>118</v>
      </c>
      <c r="C120" s="2" t="s">
        <v>356</v>
      </c>
      <c r="D120" s="2" t="s">
        <v>357</v>
      </c>
      <c r="E120" s="43">
        <v>45840</v>
      </c>
      <c r="F120" s="42" t="s">
        <v>142</v>
      </c>
      <c r="G120" s="2">
        <v>25</v>
      </c>
      <c r="H120" s="2">
        <v>15</v>
      </c>
      <c r="I120" s="35">
        <v>10</v>
      </c>
      <c r="J120" s="48">
        <v>45822</v>
      </c>
      <c r="K120" s="48"/>
      <c r="L120" s="2"/>
      <c r="M120" s="41" t="b">
        <v>0</v>
      </c>
      <c r="N120" s="41" t="b">
        <v>0</v>
      </c>
      <c r="O120" s="41" t="b">
        <v>0</v>
      </c>
      <c r="P120" s="41" t="b">
        <v>1</v>
      </c>
    </row>
    <row r="121" spans="1:16">
      <c r="A121" s="40"/>
      <c r="B121" s="37">
        <v>119</v>
      </c>
      <c r="C121" s="2" t="s">
        <v>358</v>
      </c>
      <c r="D121" s="2" t="s">
        <v>359</v>
      </c>
      <c r="E121" s="43">
        <v>45840</v>
      </c>
      <c r="F121" s="42" t="s">
        <v>144</v>
      </c>
      <c r="G121" s="2">
        <v>178</v>
      </c>
      <c r="H121" s="2">
        <v>100</v>
      </c>
      <c r="I121" s="35">
        <v>78</v>
      </c>
      <c r="J121" s="48">
        <v>45820</v>
      </c>
      <c r="K121" s="48"/>
      <c r="L121" s="2"/>
      <c r="M121" s="41" t="b">
        <v>0</v>
      </c>
      <c r="N121" s="41" t="b">
        <v>0</v>
      </c>
      <c r="O121" s="41" t="b">
        <v>0</v>
      </c>
      <c r="P121" s="41" t="b">
        <v>1</v>
      </c>
    </row>
    <row r="122" spans="1:16">
      <c r="A122" s="40"/>
      <c r="B122" s="37">
        <v>120</v>
      </c>
      <c r="C122" s="2" t="s">
        <v>360</v>
      </c>
      <c r="D122" s="2" t="s">
        <v>361</v>
      </c>
      <c r="E122" s="43">
        <v>45840</v>
      </c>
      <c r="F122" s="42" t="s">
        <v>142</v>
      </c>
      <c r="G122" s="2">
        <v>59</v>
      </c>
      <c r="H122" s="2">
        <v>30</v>
      </c>
      <c r="I122" s="35">
        <v>29</v>
      </c>
      <c r="J122" s="48">
        <v>45820</v>
      </c>
      <c r="K122" s="48"/>
      <c r="L122" s="2"/>
      <c r="M122" s="41" t="b">
        <v>0</v>
      </c>
      <c r="N122" s="41" t="b">
        <v>0</v>
      </c>
      <c r="O122" s="41" t="b">
        <v>0</v>
      </c>
      <c r="P122" s="41" t="b">
        <v>1</v>
      </c>
    </row>
    <row r="123" spans="1:16">
      <c r="A123" s="40"/>
      <c r="B123" s="37">
        <v>121</v>
      </c>
      <c r="C123" s="2" t="s">
        <v>362</v>
      </c>
      <c r="D123" s="2" t="s">
        <v>363</v>
      </c>
      <c r="E123" s="43">
        <v>45840</v>
      </c>
      <c r="F123" s="42" t="s">
        <v>142</v>
      </c>
      <c r="G123" s="2">
        <v>70</v>
      </c>
      <c r="H123" s="2">
        <v>40</v>
      </c>
      <c r="I123" s="2">
        <v>30</v>
      </c>
      <c r="J123" s="47">
        <v>45842</v>
      </c>
      <c r="K123" s="48"/>
      <c r="L123" s="2"/>
      <c r="M123" s="41" t="b">
        <v>0</v>
      </c>
      <c r="N123" s="41" t="b">
        <v>0</v>
      </c>
      <c r="O123" s="41" t="b">
        <v>0</v>
      </c>
      <c r="P123" s="41" t="b">
        <v>1</v>
      </c>
    </row>
    <row r="124" spans="1:16">
      <c r="A124" s="40"/>
      <c r="B124" s="37">
        <v>122</v>
      </c>
      <c r="C124" s="2" t="s">
        <v>364</v>
      </c>
      <c r="D124" s="2" t="s">
        <v>365</v>
      </c>
      <c r="E124" s="43">
        <v>45840</v>
      </c>
      <c r="F124" s="42" t="s">
        <v>142</v>
      </c>
      <c r="G124" s="2">
        <v>120</v>
      </c>
      <c r="H124" s="2">
        <v>60</v>
      </c>
      <c r="I124" s="2">
        <v>60</v>
      </c>
      <c r="J124" s="47">
        <v>45842</v>
      </c>
      <c r="K124" s="48"/>
      <c r="L124" s="2"/>
      <c r="M124" s="41" t="b">
        <v>0</v>
      </c>
      <c r="N124" s="41" t="b">
        <v>0</v>
      </c>
      <c r="O124" s="41" t="b">
        <v>0</v>
      </c>
      <c r="P124" s="41" t="b">
        <v>1</v>
      </c>
    </row>
    <row r="125" spans="1:16">
      <c r="A125" s="40"/>
      <c r="B125" s="37">
        <v>123</v>
      </c>
      <c r="C125" s="2" t="s">
        <v>366</v>
      </c>
      <c r="D125" s="2" t="s">
        <v>367</v>
      </c>
      <c r="E125" s="43">
        <v>45840</v>
      </c>
      <c r="F125" s="42" t="s">
        <v>142</v>
      </c>
      <c r="G125" s="2">
        <v>140</v>
      </c>
      <c r="H125" s="2">
        <v>70</v>
      </c>
      <c r="I125" s="2">
        <v>70</v>
      </c>
      <c r="J125" s="47">
        <v>45842</v>
      </c>
      <c r="K125" s="48"/>
      <c r="L125" s="2"/>
      <c r="M125" s="41" t="b">
        <v>0</v>
      </c>
      <c r="N125" s="41" t="b">
        <v>0</v>
      </c>
      <c r="O125" s="41" t="b">
        <v>0</v>
      </c>
      <c r="P125" s="41" t="b">
        <v>1</v>
      </c>
    </row>
    <row r="126" spans="1:16">
      <c r="A126" s="40"/>
      <c r="B126" s="37">
        <v>124</v>
      </c>
      <c r="C126" s="2" t="s">
        <v>368</v>
      </c>
      <c r="D126" s="2" t="s">
        <v>158</v>
      </c>
      <c r="E126" s="43">
        <v>45841</v>
      </c>
      <c r="F126" s="42" t="s">
        <v>194</v>
      </c>
      <c r="G126" s="2">
        <v>26</v>
      </c>
      <c r="H126" s="2">
        <v>26</v>
      </c>
      <c r="I126" s="35">
        <v>0</v>
      </c>
      <c r="J126" s="48">
        <v>45821</v>
      </c>
      <c r="K126" s="48"/>
      <c r="L126" s="2"/>
      <c r="M126" s="41" t="b">
        <v>0</v>
      </c>
      <c r="N126" s="41" t="b">
        <v>0</v>
      </c>
      <c r="O126" s="41" t="b">
        <v>0</v>
      </c>
      <c r="P126" s="41" t="b">
        <v>1</v>
      </c>
    </row>
    <row r="127" spans="1:16">
      <c r="A127" s="40"/>
      <c r="B127" s="37">
        <v>125</v>
      </c>
      <c r="C127" s="2" t="s">
        <v>369</v>
      </c>
      <c r="D127" s="2" t="s">
        <v>370</v>
      </c>
      <c r="E127" s="43">
        <v>45841</v>
      </c>
      <c r="F127" s="42" t="s">
        <v>194</v>
      </c>
      <c r="G127" s="2">
        <v>30</v>
      </c>
      <c r="H127" s="2">
        <v>15</v>
      </c>
      <c r="I127" s="35">
        <v>15</v>
      </c>
      <c r="J127" s="48">
        <v>45820</v>
      </c>
      <c r="K127" s="48"/>
      <c r="L127" s="2"/>
      <c r="M127" s="41" t="b">
        <v>0</v>
      </c>
      <c r="N127" s="41" t="b">
        <v>0</v>
      </c>
      <c r="O127" s="41" t="b">
        <v>0</v>
      </c>
      <c r="P127" s="41" t="b">
        <v>1</v>
      </c>
    </row>
    <row r="128" spans="1:16">
      <c r="A128" s="40"/>
      <c r="B128" s="37">
        <v>126</v>
      </c>
      <c r="C128" s="2" t="s">
        <v>371</v>
      </c>
      <c r="D128" s="2" t="s">
        <v>372</v>
      </c>
      <c r="E128" s="43">
        <v>45841</v>
      </c>
      <c r="F128" s="42" t="s">
        <v>144</v>
      </c>
      <c r="G128" s="2">
        <v>580</v>
      </c>
      <c r="H128" s="2">
        <v>290</v>
      </c>
      <c r="I128" s="35">
        <v>290</v>
      </c>
      <c r="J128" s="48">
        <v>45827</v>
      </c>
      <c r="K128" s="48"/>
      <c r="L128" s="2"/>
      <c r="M128" s="41" t="b">
        <v>0</v>
      </c>
      <c r="N128" s="41" t="b">
        <v>0</v>
      </c>
      <c r="O128" s="41" t="b">
        <v>0</v>
      </c>
      <c r="P128" s="41" t="b">
        <v>1</v>
      </c>
    </row>
    <row r="129" spans="1:16">
      <c r="A129" s="40"/>
      <c r="B129" s="37">
        <v>127</v>
      </c>
      <c r="C129" s="2" t="s">
        <v>373</v>
      </c>
      <c r="D129" s="2" t="s">
        <v>374</v>
      </c>
      <c r="E129" s="43">
        <v>45841</v>
      </c>
      <c r="F129" s="42" t="s">
        <v>144</v>
      </c>
      <c r="G129" s="2">
        <v>968</v>
      </c>
      <c r="H129" s="2">
        <v>400</v>
      </c>
      <c r="I129" s="35">
        <v>568</v>
      </c>
      <c r="J129" s="48">
        <v>45820</v>
      </c>
      <c r="K129" s="48"/>
      <c r="L129" s="2"/>
      <c r="M129" s="41" t="b">
        <v>0</v>
      </c>
      <c r="N129" s="41" t="b">
        <v>0</v>
      </c>
      <c r="O129" s="41" t="b">
        <v>0</v>
      </c>
      <c r="P129" s="41" t="b">
        <v>1</v>
      </c>
    </row>
    <row r="130" spans="1:16">
      <c r="A130" s="40"/>
      <c r="B130" s="37">
        <v>128</v>
      </c>
      <c r="C130" s="2" t="s">
        <v>375</v>
      </c>
      <c r="D130" s="2" t="s">
        <v>376</v>
      </c>
      <c r="E130" s="43">
        <v>45841</v>
      </c>
      <c r="F130" s="42" t="s">
        <v>144</v>
      </c>
      <c r="G130" s="2">
        <v>196</v>
      </c>
      <c r="H130" s="2">
        <v>98</v>
      </c>
      <c r="I130" s="35">
        <v>98</v>
      </c>
      <c r="J130" s="48">
        <v>45819</v>
      </c>
      <c r="K130" s="48"/>
      <c r="L130" s="2"/>
      <c r="M130" s="41" t="b">
        <v>0</v>
      </c>
      <c r="N130" s="41" t="b">
        <v>0</v>
      </c>
      <c r="O130" s="41" t="b">
        <v>0</v>
      </c>
      <c r="P130" s="41" t="b">
        <v>1</v>
      </c>
    </row>
    <row r="131" spans="1:16">
      <c r="A131" s="40"/>
      <c r="B131" s="37">
        <v>129</v>
      </c>
      <c r="C131" s="2" t="s">
        <v>377</v>
      </c>
      <c r="D131" s="2" t="s">
        <v>378</v>
      </c>
      <c r="E131" s="43">
        <v>45841</v>
      </c>
      <c r="F131" s="42" t="s">
        <v>142</v>
      </c>
      <c r="G131" s="2">
        <v>70</v>
      </c>
      <c r="H131" s="2">
        <v>35</v>
      </c>
      <c r="I131" s="35">
        <v>35</v>
      </c>
      <c r="J131" s="48">
        <v>45822</v>
      </c>
      <c r="K131" s="48"/>
      <c r="L131" s="2"/>
      <c r="M131" s="41" t="b">
        <v>0</v>
      </c>
      <c r="N131" s="41" t="b">
        <v>0</v>
      </c>
      <c r="O131" s="41" t="b">
        <v>0</v>
      </c>
      <c r="P131" s="41" t="b">
        <v>1</v>
      </c>
    </row>
    <row r="132" spans="1:16">
      <c r="A132" s="40"/>
      <c r="B132" s="37">
        <v>130</v>
      </c>
      <c r="C132" s="2" t="s">
        <v>379</v>
      </c>
      <c r="D132" s="2" t="s">
        <v>380</v>
      </c>
      <c r="E132" s="43">
        <v>45841</v>
      </c>
      <c r="F132" s="42" t="s">
        <v>144</v>
      </c>
      <c r="G132" s="2">
        <v>225</v>
      </c>
      <c r="H132" s="2">
        <v>110</v>
      </c>
      <c r="I132" s="2">
        <v>115</v>
      </c>
      <c r="J132" s="47">
        <v>45842</v>
      </c>
      <c r="K132" s="48"/>
      <c r="L132" s="41" t="b">
        <v>0</v>
      </c>
      <c r="M132" s="41" t="b">
        <v>0</v>
      </c>
      <c r="N132" s="41" t="b">
        <v>0</v>
      </c>
      <c r="O132" s="41" t="b">
        <v>0</v>
      </c>
      <c r="P132" s="41" t="b">
        <v>0</v>
      </c>
    </row>
    <row r="133" spans="1:16">
      <c r="A133" s="40"/>
      <c r="B133" s="37">
        <v>131</v>
      </c>
      <c r="C133" s="2" t="s">
        <v>381</v>
      </c>
      <c r="D133" s="2" t="s">
        <v>382</v>
      </c>
      <c r="E133" s="43">
        <v>45841</v>
      </c>
      <c r="F133" s="42" t="s">
        <v>144</v>
      </c>
      <c r="G133" s="2">
        <v>66</v>
      </c>
      <c r="H133" s="2">
        <v>35</v>
      </c>
      <c r="I133" s="2">
        <v>31</v>
      </c>
      <c r="J133" s="47">
        <v>45843</v>
      </c>
      <c r="K133" s="48"/>
      <c r="L133" s="41" t="b">
        <v>0</v>
      </c>
      <c r="M133" s="41" t="b">
        <v>0</v>
      </c>
      <c r="N133" s="41" t="b">
        <v>0</v>
      </c>
      <c r="O133" s="41" t="b">
        <v>0</v>
      </c>
      <c r="P133" s="41" t="b">
        <v>1</v>
      </c>
    </row>
    <row r="134" spans="1:16">
      <c r="A134" s="40"/>
      <c r="B134" s="37">
        <v>132</v>
      </c>
      <c r="C134" s="2" t="s">
        <v>383</v>
      </c>
      <c r="D134" s="2" t="s">
        <v>384</v>
      </c>
      <c r="E134" s="43">
        <v>45841</v>
      </c>
      <c r="F134" s="42" t="s">
        <v>144</v>
      </c>
      <c r="G134" s="2">
        <v>66</v>
      </c>
      <c r="H134" s="2">
        <v>66</v>
      </c>
      <c r="I134" s="2">
        <v>0</v>
      </c>
      <c r="J134" s="47">
        <v>45842</v>
      </c>
      <c r="K134" s="48"/>
      <c r="L134" s="41" t="b">
        <v>0</v>
      </c>
      <c r="M134" s="41" t="b">
        <v>0</v>
      </c>
      <c r="N134" s="41" t="b">
        <v>0</v>
      </c>
      <c r="O134" s="41" t="b">
        <v>0</v>
      </c>
      <c r="P134" s="41" t="b">
        <v>1</v>
      </c>
    </row>
    <row r="135" spans="1:16">
      <c r="A135" s="40"/>
      <c r="B135" s="37">
        <v>133</v>
      </c>
      <c r="C135" s="2" t="s">
        <v>385</v>
      </c>
      <c r="D135" s="2" t="s">
        <v>367</v>
      </c>
      <c r="E135" s="43">
        <v>45841</v>
      </c>
      <c r="F135" s="42" t="s">
        <v>142</v>
      </c>
      <c r="G135" s="2">
        <v>358</v>
      </c>
      <c r="H135" s="2">
        <v>200</v>
      </c>
      <c r="I135" s="2">
        <v>158</v>
      </c>
      <c r="J135" s="47">
        <v>45842</v>
      </c>
      <c r="K135" s="48"/>
      <c r="L135" s="2"/>
      <c r="M135" s="41" t="b">
        <v>0</v>
      </c>
      <c r="N135" s="41" t="b">
        <v>0</v>
      </c>
      <c r="O135" s="41" t="b">
        <v>0</v>
      </c>
      <c r="P135" s="41" t="b">
        <v>1</v>
      </c>
    </row>
    <row r="136" spans="1:16">
      <c r="A136" s="40"/>
      <c r="B136" s="37">
        <v>134</v>
      </c>
      <c r="C136" s="2" t="s">
        <v>386</v>
      </c>
      <c r="D136" s="2" t="s">
        <v>387</v>
      </c>
      <c r="E136" s="43">
        <v>45841</v>
      </c>
      <c r="F136" s="42" t="s">
        <v>142</v>
      </c>
      <c r="G136" s="2">
        <v>50</v>
      </c>
      <c r="H136" s="2">
        <v>50</v>
      </c>
      <c r="I136" s="2">
        <v>0</v>
      </c>
      <c r="J136" s="47">
        <v>45842</v>
      </c>
      <c r="K136" s="48"/>
      <c r="L136" s="2"/>
      <c r="M136" s="41" t="b">
        <v>0</v>
      </c>
      <c r="N136" s="41" t="b">
        <v>0</v>
      </c>
      <c r="O136" s="41" t="b">
        <v>0</v>
      </c>
      <c r="P136" s="41" t="b">
        <v>1</v>
      </c>
    </row>
    <row r="137" spans="1:16">
      <c r="A137" s="40"/>
      <c r="B137" s="37">
        <v>135</v>
      </c>
      <c r="C137" s="2" t="s">
        <v>388</v>
      </c>
      <c r="D137" s="2">
        <v>960785935</v>
      </c>
      <c r="E137" s="43">
        <v>45841</v>
      </c>
      <c r="F137" s="42" t="s">
        <v>142</v>
      </c>
      <c r="G137" s="2">
        <v>70</v>
      </c>
      <c r="H137" s="2">
        <v>30</v>
      </c>
      <c r="I137" s="2">
        <v>40</v>
      </c>
      <c r="J137" s="47">
        <v>45842</v>
      </c>
      <c r="K137" s="48"/>
      <c r="L137" s="2"/>
      <c r="M137" s="41" t="b">
        <v>0</v>
      </c>
      <c r="N137" s="41" t="b">
        <v>0</v>
      </c>
      <c r="O137" s="41" t="b">
        <v>0</v>
      </c>
      <c r="P137" s="41" t="b">
        <v>1</v>
      </c>
    </row>
    <row r="138" spans="1:16">
      <c r="A138" s="40"/>
      <c r="B138" s="37">
        <v>136</v>
      </c>
      <c r="C138" s="2" t="s">
        <v>389</v>
      </c>
      <c r="D138" s="2" t="s">
        <v>390</v>
      </c>
      <c r="E138" s="43">
        <v>45842</v>
      </c>
      <c r="F138" s="42" t="s">
        <v>183</v>
      </c>
      <c r="G138" s="2">
        <v>95</v>
      </c>
      <c r="H138" s="2">
        <v>50</v>
      </c>
      <c r="I138" s="35">
        <v>45</v>
      </c>
      <c r="J138" s="48">
        <v>45819</v>
      </c>
      <c r="K138" s="48"/>
      <c r="L138" s="2"/>
      <c r="M138" s="41" t="b">
        <v>0</v>
      </c>
      <c r="N138" s="41" t="b">
        <v>0</v>
      </c>
      <c r="O138" s="41" t="b">
        <v>0</v>
      </c>
      <c r="P138" s="41" t="b">
        <v>1</v>
      </c>
    </row>
    <row r="139" spans="1:16">
      <c r="A139" s="40"/>
      <c r="B139" s="37">
        <v>137</v>
      </c>
      <c r="C139" s="2" t="s">
        <v>391</v>
      </c>
      <c r="D139" s="2" t="s">
        <v>392</v>
      </c>
      <c r="E139" s="43">
        <v>45842</v>
      </c>
      <c r="F139" s="42" t="s">
        <v>144</v>
      </c>
      <c r="G139" s="2">
        <v>140</v>
      </c>
      <c r="H139" s="2">
        <v>100</v>
      </c>
      <c r="I139" s="35">
        <v>40</v>
      </c>
      <c r="J139" s="48">
        <v>45820</v>
      </c>
      <c r="K139" s="48"/>
      <c r="L139" s="2"/>
      <c r="M139" s="41" t="b">
        <v>0</v>
      </c>
      <c r="N139" s="41" t="b">
        <v>0</v>
      </c>
      <c r="O139" s="41" t="b">
        <v>0</v>
      </c>
      <c r="P139" s="41" t="b">
        <v>1</v>
      </c>
    </row>
    <row r="140" spans="1:16">
      <c r="A140" s="40"/>
      <c r="B140" s="37">
        <v>138</v>
      </c>
      <c r="C140" s="2" t="s">
        <v>393</v>
      </c>
      <c r="D140" s="2" t="s">
        <v>394</v>
      </c>
      <c r="E140" s="43">
        <v>45842</v>
      </c>
      <c r="F140" s="42" t="s">
        <v>183</v>
      </c>
      <c r="G140" s="2">
        <v>34</v>
      </c>
      <c r="H140" s="2">
        <v>17</v>
      </c>
      <c r="I140" s="35">
        <v>17</v>
      </c>
      <c r="J140" s="48">
        <v>45821</v>
      </c>
      <c r="K140" s="48"/>
      <c r="L140" s="2"/>
      <c r="M140" s="41" t="b">
        <v>0</v>
      </c>
      <c r="N140" s="41" t="b">
        <v>0</v>
      </c>
      <c r="O140" s="41" t="b">
        <v>0</v>
      </c>
      <c r="P140" s="41" t="b">
        <v>1</v>
      </c>
    </row>
    <row r="141" spans="1:16">
      <c r="A141" s="40"/>
      <c r="B141" s="37">
        <v>139</v>
      </c>
      <c r="C141" s="2" t="s">
        <v>395</v>
      </c>
      <c r="D141" s="2" t="s">
        <v>396</v>
      </c>
      <c r="E141" s="43">
        <v>45842</v>
      </c>
      <c r="F141" s="42" t="s">
        <v>194</v>
      </c>
      <c r="G141" s="2">
        <v>105</v>
      </c>
      <c r="H141" s="2">
        <v>50</v>
      </c>
      <c r="I141" s="2">
        <v>55</v>
      </c>
      <c r="J141" s="47">
        <v>45846</v>
      </c>
      <c r="K141" s="48"/>
      <c r="L141" s="41" t="b">
        <v>0</v>
      </c>
      <c r="M141" s="41" t="b">
        <v>0</v>
      </c>
      <c r="N141" s="41" t="b">
        <v>0</v>
      </c>
      <c r="O141" s="41" t="b">
        <v>0</v>
      </c>
      <c r="P141" s="41" t="b">
        <v>0</v>
      </c>
    </row>
    <row r="142" spans="1:16">
      <c r="A142" s="40"/>
      <c r="B142" s="37">
        <v>140</v>
      </c>
      <c r="C142" s="2" t="s">
        <v>397</v>
      </c>
      <c r="D142" s="2" t="s">
        <v>398</v>
      </c>
      <c r="E142" s="43">
        <v>45842</v>
      </c>
      <c r="F142" s="42" t="s">
        <v>144</v>
      </c>
      <c r="G142" s="2">
        <v>198</v>
      </c>
      <c r="H142" s="2">
        <v>100</v>
      </c>
      <c r="I142" s="2">
        <v>98</v>
      </c>
      <c r="J142" s="47">
        <v>45843</v>
      </c>
      <c r="K142" s="48"/>
      <c r="L142" s="41" t="b">
        <v>0</v>
      </c>
      <c r="M142" s="41" t="b">
        <v>0</v>
      </c>
      <c r="N142" s="41" t="b">
        <v>0</v>
      </c>
      <c r="O142" s="41" t="b">
        <v>0</v>
      </c>
      <c r="P142" s="41" t="b">
        <v>1</v>
      </c>
    </row>
    <row r="143" spans="1:16">
      <c r="A143" s="40"/>
      <c r="B143" s="37">
        <v>141</v>
      </c>
      <c r="C143" s="2" t="s">
        <v>399</v>
      </c>
      <c r="D143" s="2" t="s">
        <v>400</v>
      </c>
      <c r="E143" s="43">
        <v>45842</v>
      </c>
      <c r="F143" s="42" t="s">
        <v>144</v>
      </c>
      <c r="G143" s="2">
        <v>76</v>
      </c>
      <c r="H143" s="2">
        <v>76</v>
      </c>
      <c r="I143" s="2">
        <v>0</v>
      </c>
      <c r="J143" s="47">
        <v>45843</v>
      </c>
      <c r="K143" s="48"/>
      <c r="L143" s="41" t="b">
        <v>0</v>
      </c>
      <c r="M143" s="41" t="b">
        <v>0</v>
      </c>
      <c r="N143" s="41" t="b">
        <v>0</v>
      </c>
      <c r="O143" s="41" t="b">
        <v>0</v>
      </c>
      <c r="P143" s="41" t="b">
        <v>1</v>
      </c>
    </row>
    <row r="144" spans="1:16">
      <c r="A144" s="40"/>
      <c r="B144" s="37">
        <v>142</v>
      </c>
      <c r="C144" s="2" t="s">
        <v>401</v>
      </c>
      <c r="D144" s="2" t="s">
        <v>402</v>
      </c>
      <c r="E144" s="43">
        <v>45843</v>
      </c>
      <c r="F144" s="42" t="s">
        <v>142</v>
      </c>
      <c r="G144" s="2">
        <v>495</v>
      </c>
      <c r="H144" s="2">
        <v>247</v>
      </c>
      <c r="I144" s="35">
        <v>248</v>
      </c>
      <c r="J144" s="48">
        <v>45821</v>
      </c>
      <c r="K144" s="48"/>
      <c r="L144" s="2"/>
      <c r="M144" s="41" t="b">
        <v>0</v>
      </c>
      <c r="N144" s="41" t="b">
        <v>0</v>
      </c>
      <c r="O144" s="41" t="b">
        <v>0</v>
      </c>
      <c r="P144" s="41" t="b">
        <v>1</v>
      </c>
    </row>
    <row r="145" spans="1:16">
      <c r="A145" s="40"/>
      <c r="B145" s="37">
        <v>143</v>
      </c>
      <c r="C145" s="2" t="s">
        <v>403</v>
      </c>
      <c r="D145" s="2" t="s">
        <v>404</v>
      </c>
      <c r="E145" s="43">
        <v>45843</v>
      </c>
      <c r="F145" s="42" t="s">
        <v>142</v>
      </c>
      <c r="G145" s="2">
        <v>59</v>
      </c>
      <c r="H145" s="2">
        <v>29.5</v>
      </c>
      <c r="I145" s="35">
        <v>29.5</v>
      </c>
      <c r="J145" s="48">
        <v>45821</v>
      </c>
      <c r="K145" s="48"/>
      <c r="L145" s="2"/>
      <c r="M145" s="41" t="b">
        <v>0</v>
      </c>
      <c r="N145" s="41" t="b">
        <v>0</v>
      </c>
      <c r="O145" s="41" t="b">
        <v>0</v>
      </c>
      <c r="P145" s="41" t="b">
        <v>1</v>
      </c>
    </row>
    <row r="146" spans="1:16">
      <c r="A146" s="40"/>
      <c r="B146" s="37">
        <v>144</v>
      </c>
      <c r="C146" s="2" t="s">
        <v>405</v>
      </c>
      <c r="D146" s="2" t="s">
        <v>406</v>
      </c>
      <c r="E146" s="43">
        <v>45843</v>
      </c>
      <c r="F146" s="42" t="s">
        <v>142</v>
      </c>
      <c r="G146" s="2">
        <v>68</v>
      </c>
      <c r="H146" s="2">
        <v>35</v>
      </c>
      <c r="I146" s="35">
        <v>33</v>
      </c>
      <c r="J146" s="48">
        <v>45819</v>
      </c>
      <c r="K146" s="48"/>
      <c r="L146" s="2"/>
      <c r="M146" s="41" t="b">
        <v>0</v>
      </c>
      <c r="N146" s="41" t="b">
        <v>0</v>
      </c>
      <c r="O146" s="41" t="b">
        <v>0</v>
      </c>
      <c r="P146" s="41" t="b">
        <v>1</v>
      </c>
    </row>
    <row r="147" spans="1:16">
      <c r="A147" s="40"/>
      <c r="B147" s="37">
        <v>145</v>
      </c>
      <c r="C147" s="2" t="s">
        <v>407</v>
      </c>
      <c r="D147" s="2" t="s">
        <v>408</v>
      </c>
      <c r="E147" s="43">
        <v>45843</v>
      </c>
      <c r="F147" s="42" t="s">
        <v>194</v>
      </c>
      <c r="G147" s="2">
        <v>66</v>
      </c>
      <c r="H147" s="2">
        <v>30</v>
      </c>
      <c r="I147" s="2">
        <v>36</v>
      </c>
      <c r="J147" s="47">
        <v>45848</v>
      </c>
      <c r="K147" s="48"/>
      <c r="L147" s="41" t="b">
        <v>0</v>
      </c>
      <c r="M147" s="41" t="b">
        <v>0</v>
      </c>
      <c r="N147" s="41" t="b">
        <v>0</v>
      </c>
      <c r="O147" s="41" t="b">
        <v>0</v>
      </c>
      <c r="P147" s="41" t="b">
        <v>1</v>
      </c>
    </row>
    <row r="148" spans="1:16">
      <c r="A148" s="22"/>
      <c r="B148" s="37">
        <v>146</v>
      </c>
      <c r="C148" s="2" t="s">
        <v>409</v>
      </c>
      <c r="D148" s="2" t="s">
        <v>410</v>
      </c>
      <c r="E148" s="43">
        <v>45843</v>
      </c>
      <c r="F148" s="42" t="s">
        <v>183</v>
      </c>
      <c r="G148" s="2">
        <v>240</v>
      </c>
      <c r="H148" s="2">
        <v>120</v>
      </c>
      <c r="I148" s="2">
        <v>120</v>
      </c>
      <c r="J148" s="47">
        <v>45843</v>
      </c>
      <c r="K148" s="48"/>
      <c r="L148" s="2"/>
      <c r="M148" s="41" t="b">
        <v>0</v>
      </c>
      <c r="N148" s="41" t="b">
        <v>0</v>
      </c>
      <c r="O148" s="41" t="b">
        <v>0</v>
      </c>
      <c r="P148" s="41" t="b">
        <v>1</v>
      </c>
    </row>
    <row r="149" spans="1:16">
      <c r="A149" s="22"/>
      <c r="B149" s="37">
        <v>147</v>
      </c>
      <c r="C149" s="2" t="s">
        <v>411</v>
      </c>
      <c r="D149" s="2" t="s">
        <v>412</v>
      </c>
      <c r="E149" s="43">
        <v>45843</v>
      </c>
      <c r="F149" s="42" t="s">
        <v>194</v>
      </c>
      <c r="G149" s="2">
        <v>22</v>
      </c>
      <c r="H149" s="2">
        <v>12</v>
      </c>
      <c r="I149" s="2">
        <v>10</v>
      </c>
      <c r="J149" s="47">
        <v>45846</v>
      </c>
      <c r="K149" s="48"/>
      <c r="L149" s="41" t="b">
        <v>0</v>
      </c>
      <c r="M149" s="41" t="b">
        <v>0</v>
      </c>
      <c r="N149" s="41" t="b">
        <v>0</v>
      </c>
      <c r="O149" s="41" t="b">
        <v>0</v>
      </c>
      <c r="P149" s="41" t="b">
        <v>1</v>
      </c>
    </row>
    <row r="150" spans="1:16">
      <c r="A150" s="22"/>
      <c r="B150" s="37">
        <v>148</v>
      </c>
      <c r="C150" s="2" t="s">
        <v>413</v>
      </c>
      <c r="D150" s="2" t="s">
        <v>414</v>
      </c>
      <c r="E150" s="43">
        <v>45844</v>
      </c>
      <c r="F150" s="42" t="s">
        <v>144</v>
      </c>
      <c r="G150" s="2">
        <v>30</v>
      </c>
      <c r="H150" s="2">
        <v>15</v>
      </c>
      <c r="I150" s="35">
        <v>15</v>
      </c>
      <c r="J150" s="48">
        <v>45820</v>
      </c>
      <c r="K150" s="48"/>
      <c r="L150" s="2"/>
      <c r="M150" s="41" t="b">
        <v>0</v>
      </c>
      <c r="N150" s="41" t="b">
        <v>0</v>
      </c>
      <c r="O150" s="41" t="b">
        <v>0</v>
      </c>
      <c r="P150" s="41" t="b">
        <v>1</v>
      </c>
    </row>
    <row r="151" spans="1:16">
      <c r="A151" s="22"/>
      <c r="B151" s="37">
        <v>149</v>
      </c>
      <c r="C151" s="2" t="s">
        <v>415</v>
      </c>
      <c r="D151" s="2" t="s">
        <v>416</v>
      </c>
      <c r="E151" s="43">
        <v>45844</v>
      </c>
      <c r="F151" s="42" t="s">
        <v>142</v>
      </c>
      <c r="G151" s="2">
        <v>116</v>
      </c>
      <c r="H151" s="2">
        <v>50</v>
      </c>
      <c r="I151" s="2">
        <v>66</v>
      </c>
      <c r="J151" s="47">
        <v>45845</v>
      </c>
      <c r="K151" s="48"/>
      <c r="L151" s="2"/>
      <c r="M151" s="41" t="b">
        <v>0</v>
      </c>
      <c r="N151" s="41" t="b">
        <v>0</v>
      </c>
      <c r="O151" s="41" t="b">
        <v>0</v>
      </c>
      <c r="P151" s="41" t="b">
        <v>1</v>
      </c>
    </row>
    <row r="152" spans="1:16">
      <c r="A152" s="22"/>
      <c r="B152" s="37">
        <v>150</v>
      </c>
      <c r="C152" s="2" t="s">
        <v>417</v>
      </c>
      <c r="D152" s="2" t="s">
        <v>222</v>
      </c>
      <c r="E152" s="43">
        <v>45845</v>
      </c>
      <c r="F152" s="42" t="s">
        <v>183</v>
      </c>
      <c r="G152" s="2">
        <v>25</v>
      </c>
      <c r="H152" s="2">
        <v>13</v>
      </c>
      <c r="I152" s="35">
        <v>12</v>
      </c>
      <c r="J152" s="48">
        <v>45822</v>
      </c>
      <c r="K152" s="48"/>
      <c r="L152" s="2"/>
      <c r="M152" s="41" t="b">
        <v>0</v>
      </c>
      <c r="N152" s="41" t="b">
        <v>0</v>
      </c>
      <c r="O152" s="41" t="b">
        <v>0</v>
      </c>
      <c r="P152" s="41" t="b">
        <v>1</v>
      </c>
    </row>
    <row r="153" spans="1:16">
      <c r="A153" s="22"/>
      <c r="B153" s="37">
        <v>151</v>
      </c>
      <c r="C153" s="2" t="s">
        <v>418</v>
      </c>
      <c r="D153" s="2" t="s">
        <v>419</v>
      </c>
      <c r="E153" s="43">
        <v>45845</v>
      </c>
      <c r="F153" s="42" t="s">
        <v>142</v>
      </c>
      <c r="G153" s="2">
        <v>99</v>
      </c>
      <c r="H153" s="2">
        <v>50</v>
      </c>
      <c r="I153" s="35">
        <v>49</v>
      </c>
      <c r="J153" s="48">
        <v>45822</v>
      </c>
      <c r="K153" s="48"/>
      <c r="L153" s="2"/>
      <c r="M153" s="41" t="b">
        <v>0</v>
      </c>
      <c r="N153" s="41" t="b">
        <v>0</v>
      </c>
      <c r="O153" s="41" t="b">
        <v>0</v>
      </c>
      <c r="P153" s="41" t="b">
        <v>1</v>
      </c>
    </row>
    <row r="154" spans="1:16">
      <c r="A154" s="22"/>
      <c r="B154" s="37">
        <v>152</v>
      </c>
      <c r="C154" s="2" t="s">
        <v>420</v>
      </c>
      <c r="D154" s="2" t="s">
        <v>421</v>
      </c>
      <c r="E154" s="43">
        <v>45845</v>
      </c>
      <c r="F154" s="42" t="s">
        <v>183</v>
      </c>
      <c r="G154" s="2">
        <v>380</v>
      </c>
      <c r="H154" s="2">
        <v>200</v>
      </c>
      <c r="I154" s="35">
        <v>180</v>
      </c>
      <c r="J154" s="48">
        <v>45827</v>
      </c>
      <c r="K154" s="48"/>
      <c r="L154" s="2"/>
      <c r="M154" s="41" t="b">
        <v>0</v>
      </c>
      <c r="N154" s="41" t="b">
        <v>0</v>
      </c>
      <c r="O154" s="41" t="b">
        <v>0</v>
      </c>
      <c r="P154" s="41" t="b">
        <v>1</v>
      </c>
    </row>
    <row r="155" spans="1:16">
      <c r="A155" s="22"/>
      <c r="B155" s="37">
        <v>153</v>
      </c>
      <c r="C155" s="2" t="s">
        <v>422</v>
      </c>
      <c r="D155" s="2" t="s">
        <v>423</v>
      </c>
      <c r="E155" s="43">
        <v>45845</v>
      </c>
      <c r="F155" s="42" t="s">
        <v>142</v>
      </c>
      <c r="G155" s="2">
        <v>103</v>
      </c>
      <c r="H155" s="2">
        <v>35</v>
      </c>
      <c r="I155" s="2">
        <v>68</v>
      </c>
      <c r="J155" s="47">
        <v>45848</v>
      </c>
      <c r="K155" s="48"/>
      <c r="L155" s="2"/>
      <c r="M155" s="41" t="b">
        <v>0</v>
      </c>
      <c r="N155" s="41" t="b">
        <v>0</v>
      </c>
      <c r="O155" s="41" t="b">
        <v>0</v>
      </c>
      <c r="P155" s="41" t="b">
        <v>1</v>
      </c>
    </row>
    <row r="156" spans="1:16">
      <c r="A156" s="22"/>
      <c r="B156" s="37">
        <v>154</v>
      </c>
      <c r="C156" s="2" t="s">
        <v>424</v>
      </c>
      <c r="D156" s="2" t="s">
        <v>425</v>
      </c>
      <c r="E156" s="43">
        <v>45845</v>
      </c>
      <c r="F156" s="42" t="s">
        <v>142</v>
      </c>
      <c r="G156" s="2">
        <v>60</v>
      </c>
      <c r="H156" s="2">
        <v>60</v>
      </c>
      <c r="I156" s="2">
        <v>0</v>
      </c>
      <c r="J156" s="47">
        <v>45845</v>
      </c>
      <c r="K156" s="48"/>
      <c r="L156" s="2"/>
      <c r="M156" s="41" t="b">
        <v>0</v>
      </c>
      <c r="N156" s="41" t="b">
        <v>0</v>
      </c>
      <c r="O156" s="41" t="b">
        <v>0</v>
      </c>
      <c r="P156" s="41" t="b">
        <v>1</v>
      </c>
    </row>
    <row r="157" spans="1:16">
      <c r="A157" s="22"/>
      <c r="B157" s="37">
        <v>155</v>
      </c>
      <c r="C157" s="2" t="s">
        <v>426</v>
      </c>
      <c r="D157" s="2" t="s">
        <v>427</v>
      </c>
      <c r="E157" s="43">
        <v>45845</v>
      </c>
      <c r="F157" s="42" t="s">
        <v>144</v>
      </c>
      <c r="G157" s="2">
        <v>396</v>
      </c>
      <c r="H157" s="2">
        <v>190</v>
      </c>
      <c r="I157" s="2">
        <v>206</v>
      </c>
      <c r="J157" s="47">
        <v>45852</v>
      </c>
      <c r="K157" s="48"/>
      <c r="L157" s="41" t="b">
        <v>0</v>
      </c>
      <c r="M157" s="41" t="b">
        <v>0</v>
      </c>
      <c r="N157" s="41" t="b">
        <v>0</v>
      </c>
      <c r="O157" s="41" t="b">
        <v>0</v>
      </c>
      <c r="P157" s="41" t="b">
        <v>0</v>
      </c>
    </row>
    <row r="158" spans="1:16">
      <c r="A158" s="22"/>
      <c r="B158" s="37">
        <v>156</v>
      </c>
      <c r="C158" s="2" t="s">
        <v>428</v>
      </c>
      <c r="D158" s="2" t="s">
        <v>429</v>
      </c>
      <c r="E158" s="43">
        <v>45847</v>
      </c>
      <c r="F158" s="42" t="s">
        <v>142</v>
      </c>
      <c r="G158" s="2">
        <v>50</v>
      </c>
      <c r="H158" s="2">
        <v>25</v>
      </c>
      <c r="I158" s="35">
        <v>25</v>
      </c>
      <c r="J158" s="48">
        <v>45822</v>
      </c>
      <c r="K158" s="48"/>
      <c r="L158" s="2"/>
      <c r="M158" s="41" t="b">
        <v>0</v>
      </c>
      <c r="N158" s="41" t="b">
        <v>0</v>
      </c>
      <c r="O158" s="41" t="b">
        <v>0</v>
      </c>
      <c r="P158" s="41" t="b">
        <v>1</v>
      </c>
    </row>
    <row r="159" spans="1:16">
      <c r="A159" s="22"/>
      <c r="B159" s="37">
        <v>157</v>
      </c>
      <c r="C159" s="2" t="s">
        <v>430</v>
      </c>
      <c r="D159" s="2" t="s">
        <v>431</v>
      </c>
      <c r="E159" s="43">
        <v>45847</v>
      </c>
      <c r="F159" s="42" t="s">
        <v>144</v>
      </c>
      <c r="G159" s="2">
        <v>125</v>
      </c>
      <c r="H159" s="2">
        <v>50</v>
      </c>
      <c r="I159" s="35">
        <v>75</v>
      </c>
      <c r="J159" s="48">
        <v>45821</v>
      </c>
      <c r="K159" s="48"/>
      <c r="L159" s="2"/>
      <c r="M159" s="41" t="b">
        <v>0</v>
      </c>
      <c r="N159" s="41" t="b">
        <v>0</v>
      </c>
      <c r="O159" s="41" t="b">
        <v>0</v>
      </c>
      <c r="P159" s="41" t="b">
        <v>1</v>
      </c>
    </row>
    <row r="160" spans="1:16">
      <c r="A160" s="22"/>
      <c r="B160" s="37">
        <v>158</v>
      </c>
      <c r="C160" s="2" t="s">
        <v>432</v>
      </c>
      <c r="D160" s="2" t="s">
        <v>433</v>
      </c>
      <c r="E160" s="43">
        <v>45847</v>
      </c>
      <c r="F160" s="42" t="s">
        <v>142</v>
      </c>
      <c r="G160" s="2">
        <v>95</v>
      </c>
      <c r="H160" s="2">
        <v>50</v>
      </c>
      <c r="I160" s="35">
        <v>45</v>
      </c>
      <c r="J160" s="48">
        <v>45822</v>
      </c>
      <c r="K160" s="48"/>
      <c r="L160" s="2"/>
      <c r="M160" s="41" t="b">
        <v>0</v>
      </c>
      <c r="N160" s="41" t="b">
        <v>0</v>
      </c>
      <c r="O160" s="41" t="b">
        <v>0</v>
      </c>
      <c r="P160" s="41" t="b">
        <v>1</v>
      </c>
    </row>
    <row r="161" spans="1:16">
      <c r="A161" s="22"/>
      <c r="B161" s="37">
        <v>159</v>
      </c>
      <c r="C161" s="2" t="s">
        <v>434</v>
      </c>
      <c r="D161" s="2" t="s">
        <v>435</v>
      </c>
      <c r="E161" s="43">
        <v>45847</v>
      </c>
      <c r="F161" s="42" t="s">
        <v>183</v>
      </c>
      <c r="G161" s="2">
        <v>189</v>
      </c>
      <c r="H161" s="2">
        <v>75.5</v>
      </c>
      <c r="I161" s="35">
        <v>113.5</v>
      </c>
      <c r="J161" s="48">
        <v>45830</v>
      </c>
      <c r="K161" s="48"/>
      <c r="L161" s="2"/>
      <c r="M161" s="41" t="b">
        <v>0</v>
      </c>
      <c r="N161" s="41" t="b">
        <v>0</v>
      </c>
      <c r="O161" s="41" t="b">
        <v>0</v>
      </c>
      <c r="P161" s="41" t="b">
        <v>1</v>
      </c>
    </row>
    <row r="162" spans="1:16">
      <c r="A162" s="22"/>
      <c r="B162" s="37">
        <v>160</v>
      </c>
      <c r="C162" s="2" t="s">
        <v>436</v>
      </c>
      <c r="D162" s="2" t="s">
        <v>437</v>
      </c>
      <c r="E162" s="43">
        <v>45847</v>
      </c>
      <c r="F162" s="42" t="s">
        <v>144</v>
      </c>
      <c r="G162" s="2">
        <v>441</v>
      </c>
      <c r="H162" s="2">
        <v>250</v>
      </c>
      <c r="I162" s="35">
        <v>191</v>
      </c>
      <c r="J162" s="48">
        <v>45827</v>
      </c>
      <c r="K162" s="48"/>
      <c r="L162" s="2"/>
      <c r="M162" s="41" t="b">
        <v>0</v>
      </c>
      <c r="N162" s="41" t="b">
        <v>0</v>
      </c>
      <c r="O162" s="41" t="b">
        <v>0</v>
      </c>
      <c r="P162" s="41" t="b">
        <v>1</v>
      </c>
    </row>
    <row r="163" spans="1:16">
      <c r="A163" s="22"/>
      <c r="B163" s="37">
        <v>161</v>
      </c>
      <c r="C163" s="2" t="s">
        <v>438</v>
      </c>
      <c r="D163" s="2" t="s">
        <v>439</v>
      </c>
      <c r="E163" s="43">
        <v>45847</v>
      </c>
      <c r="F163" s="42" t="s">
        <v>144</v>
      </c>
      <c r="G163" s="2">
        <v>70</v>
      </c>
      <c r="H163" s="2">
        <v>35</v>
      </c>
      <c r="I163" s="35">
        <v>35</v>
      </c>
      <c r="J163" s="48">
        <v>45821</v>
      </c>
      <c r="K163" s="48"/>
      <c r="L163" s="2"/>
      <c r="M163" s="41" t="b">
        <v>0</v>
      </c>
      <c r="N163" s="41" t="b">
        <v>0</v>
      </c>
      <c r="O163" s="41" t="b">
        <v>0</v>
      </c>
      <c r="P163" s="41" t="b">
        <v>1</v>
      </c>
    </row>
    <row r="164" spans="1:16">
      <c r="A164" s="22"/>
      <c r="B164" s="37">
        <v>162</v>
      </c>
      <c r="C164" s="2" t="s">
        <v>440</v>
      </c>
      <c r="D164" s="2" t="s">
        <v>441</v>
      </c>
      <c r="E164" s="43">
        <v>45847</v>
      </c>
      <c r="F164" s="42" t="s">
        <v>142</v>
      </c>
      <c r="G164" s="2">
        <v>484</v>
      </c>
      <c r="H164" s="2">
        <v>231</v>
      </c>
      <c r="I164" s="2">
        <v>253</v>
      </c>
      <c r="J164" s="47">
        <v>45852</v>
      </c>
      <c r="K164" s="48"/>
      <c r="L164" s="2"/>
      <c r="M164" s="41" t="b">
        <v>0</v>
      </c>
      <c r="N164" s="41" t="b">
        <v>0</v>
      </c>
      <c r="O164" s="41" t="b">
        <v>0</v>
      </c>
      <c r="P164" s="41" t="b">
        <v>0</v>
      </c>
    </row>
    <row r="165" spans="1:16">
      <c r="A165" s="22"/>
      <c r="B165" s="37">
        <v>163</v>
      </c>
      <c r="C165" s="2" t="s">
        <v>442</v>
      </c>
      <c r="D165" s="2" t="s">
        <v>443</v>
      </c>
      <c r="E165" s="43">
        <v>45847</v>
      </c>
      <c r="F165" s="42" t="s">
        <v>144</v>
      </c>
      <c r="G165" s="2">
        <v>330</v>
      </c>
      <c r="H165" s="2">
        <v>165</v>
      </c>
      <c r="I165" s="2">
        <v>165</v>
      </c>
      <c r="J165" s="47">
        <v>45848</v>
      </c>
      <c r="K165" s="48"/>
      <c r="L165" s="41" t="b">
        <v>0</v>
      </c>
      <c r="M165" s="41" t="b">
        <v>0</v>
      </c>
      <c r="N165" s="41" t="b">
        <v>0</v>
      </c>
      <c r="O165" s="41" t="b">
        <v>0</v>
      </c>
      <c r="P165" s="41" t="b">
        <v>1</v>
      </c>
    </row>
    <row r="166" spans="1:16">
      <c r="A166" s="22"/>
      <c r="B166" s="37">
        <v>164</v>
      </c>
      <c r="C166" s="2" t="s">
        <v>444</v>
      </c>
      <c r="D166" s="2" t="s">
        <v>445</v>
      </c>
      <c r="E166" s="43">
        <v>45847</v>
      </c>
      <c r="F166" s="42" t="s">
        <v>194</v>
      </c>
      <c r="G166" s="2">
        <v>50</v>
      </c>
      <c r="H166" s="2">
        <v>22</v>
      </c>
      <c r="I166" s="2">
        <v>28</v>
      </c>
      <c r="J166" s="47">
        <v>45849</v>
      </c>
      <c r="K166" s="48"/>
      <c r="L166" s="41" t="b">
        <v>0</v>
      </c>
      <c r="M166" s="41" t="b">
        <v>0</v>
      </c>
      <c r="N166" s="41" t="b">
        <v>0</v>
      </c>
      <c r="O166" s="41" t="b">
        <v>0</v>
      </c>
      <c r="P166" s="41" t="b">
        <v>1</v>
      </c>
    </row>
    <row r="167" spans="1:16">
      <c r="A167" s="22"/>
      <c r="B167" s="37">
        <v>165</v>
      </c>
      <c r="C167" s="2" t="s">
        <v>446</v>
      </c>
      <c r="D167" s="2" t="s">
        <v>447</v>
      </c>
      <c r="E167" s="43">
        <v>45847</v>
      </c>
      <c r="F167" s="42" t="s">
        <v>144</v>
      </c>
      <c r="G167" s="2">
        <v>110</v>
      </c>
      <c r="H167" s="2">
        <v>60</v>
      </c>
      <c r="I167" s="2">
        <v>50</v>
      </c>
      <c r="J167" s="47">
        <v>45850</v>
      </c>
      <c r="K167" s="48"/>
      <c r="L167" s="41" t="b">
        <v>0</v>
      </c>
      <c r="M167" s="41" t="b">
        <v>0</v>
      </c>
      <c r="N167" s="41" t="b">
        <v>0</v>
      </c>
      <c r="O167" s="41" t="b">
        <v>0</v>
      </c>
      <c r="P167" s="41" t="b">
        <v>1</v>
      </c>
    </row>
    <row r="168" spans="1:16">
      <c r="A168" s="22"/>
      <c r="B168" s="37">
        <v>166</v>
      </c>
      <c r="C168" s="2" t="s">
        <v>448</v>
      </c>
      <c r="D168" s="2" t="s">
        <v>449</v>
      </c>
      <c r="E168" s="43">
        <v>45847</v>
      </c>
      <c r="F168" s="42" t="s">
        <v>144</v>
      </c>
      <c r="G168" s="2">
        <v>86</v>
      </c>
      <c r="H168" s="2">
        <v>86</v>
      </c>
      <c r="I168" s="2">
        <v>0</v>
      </c>
      <c r="J168" s="47">
        <v>45850</v>
      </c>
      <c r="K168" s="48"/>
      <c r="L168" s="41" t="b">
        <v>0</v>
      </c>
      <c r="M168" s="41" t="b">
        <v>0</v>
      </c>
      <c r="N168" s="41" t="b">
        <v>0</v>
      </c>
      <c r="O168" s="41" t="b">
        <v>0</v>
      </c>
      <c r="P168" s="41" t="b">
        <v>1</v>
      </c>
    </row>
    <row r="169" spans="1:16">
      <c r="A169" s="22"/>
      <c r="B169" s="37">
        <v>167</v>
      </c>
      <c r="C169" s="2" t="s">
        <v>450</v>
      </c>
      <c r="D169" s="2" t="s">
        <v>451</v>
      </c>
      <c r="E169" s="43">
        <v>45847</v>
      </c>
      <c r="F169" s="42" t="s">
        <v>142</v>
      </c>
      <c r="G169" s="2">
        <v>368</v>
      </c>
      <c r="H169" s="2">
        <v>175</v>
      </c>
      <c r="I169" s="2">
        <v>193</v>
      </c>
      <c r="J169" s="47">
        <v>45855</v>
      </c>
      <c r="K169" s="48"/>
      <c r="L169" s="2"/>
      <c r="M169" s="41" t="b">
        <v>0</v>
      </c>
      <c r="N169" s="41" t="b">
        <v>0</v>
      </c>
      <c r="O169" s="41" t="b">
        <v>0</v>
      </c>
      <c r="P169" s="41" t="b">
        <v>1</v>
      </c>
    </row>
    <row r="170" spans="1:16">
      <c r="A170" s="22"/>
      <c r="B170" s="37">
        <v>168</v>
      </c>
      <c r="C170" s="2" t="s">
        <v>452</v>
      </c>
      <c r="D170" s="2" t="s">
        <v>453</v>
      </c>
      <c r="E170" s="43">
        <v>45848</v>
      </c>
      <c r="F170" s="42" t="s">
        <v>142</v>
      </c>
      <c r="G170" s="2">
        <v>125</v>
      </c>
      <c r="H170" s="2">
        <v>63</v>
      </c>
      <c r="I170" s="35">
        <v>62</v>
      </c>
      <c r="J170" s="48">
        <v>45821</v>
      </c>
      <c r="K170" s="48"/>
      <c r="L170" s="2"/>
      <c r="M170" s="41" t="b">
        <v>0</v>
      </c>
      <c r="N170" s="41" t="b">
        <v>0</v>
      </c>
      <c r="O170" s="41" t="b">
        <v>0</v>
      </c>
      <c r="P170" s="41" t="b">
        <v>1</v>
      </c>
    </row>
    <row r="171" spans="1:16">
      <c r="A171" s="22"/>
      <c r="B171" s="37">
        <v>169</v>
      </c>
      <c r="C171" s="2" t="s">
        <v>454</v>
      </c>
      <c r="D171" s="2" t="s">
        <v>455</v>
      </c>
      <c r="E171" s="43">
        <v>45848</v>
      </c>
      <c r="F171" s="42" t="s">
        <v>142</v>
      </c>
      <c r="G171" s="2">
        <v>30</v>
      </c>
      <c r="H171" s="2">
        <v>15</v>
      </c>
      <c r="I171" s="35">
        <v>15</v>
      </c>
      <c r="J171" s="48">
        <v>45822</v>
      </c>
      <c r="K171" s="48"/>
      <c r="L171" s="2"/>
      <c r="M171" s="41" t="b">
        <v>0</v>
      </c>
      <c r="N171" s="41" t="b">
        <v>0</v>
      </c>
      <c r="O171" s="41" t="b">
        <v>0</v>
      </c>
      <c r="P171" s="41" t="b">
        <v>1</v>
      </c>
    </row>
    <row r="172" spans="1:16">
      <c r="A172" s="22"/>
      <c r="B172" s="37">
        <v>170</v>
      </c>
      <c r="C172" s="2" t="s">
        <v>456</v>
      </c>
      <c r="D172" s="2" t="s">
        <v>457</v>
      </c>
      <c r="E172" s="43">
        <v>45848</v>
      </c>
      <c r="F172" s="42" t="s">
        <v>194</v>
      </c>
      <c r="G172" s="2">
        <v>60</v>
      </c>
      <c r="H172" s="2">
        <v>30</v>
      </c>
      <c r="I172" s="35">
        <v>30</v>
      </c>
      <c r="J172" s="48">
        <v>45821</v>
      </c>
      <c r="K172" s="48"/>
      <c r="L172" s="2"/>
      <c r="M172" s="41" t="b">
        <v>0</v>
      </c>
      <c r="N172" s="41" t="b">
        <v>0</v>
      </c>
      <c r="O172" s="41" t="b">
        <v>0</v>
      </c>
      <c r="P172" s="41" t="b">
        <v>1</v>
      </c>
    </row>
    <row r="173" spans="1:16">
      <c r="A173" s="22"/>
      <c r="B173" s="37">
        <v>171</v>
      </c>
      <c r="C173" s="2" t="s">
        <v>458</v>
      </c>
      <c r="D173" s="2" t="s">
        <v>459</v>
      </c>
      <c r="E173" s="43">
        <v>45848</v>
      </c>
      <c r="F173" s="42" t="s">
        <v>194</v>
      </c>
      <c r="G173" s="2">
        <v>60</v>
      </c>
      <c r="H173" s="2">
        <v>30</v>
      </c>
      <c r="I173" s="35">
        <v>30</v>
      </c>
      <c r="J173" s="48">
        <v>45821</v>
      </c>
      <c r="K173" s="48"/>
      <c r="L173" s="2"/>
      <c r="M173" s="41" t="b">
        <v>0</v>
      </c>
      <c r="N173" s="41" t="b">
        <v>0</v>
      </c>
      <c r="O173" s="41" t="b">
        <v>0</v>
      </c>
      <c r="P173" s="41" t="b">
        <v>1</v>
      </c>
    </row>
    <row r="174" spans="1:16">
      <c r="A174" s="22"/>
      <c r="B174" s="37">
        <v>172</v>
      </c>
      <c r="C174" s="2" t="s">
        <v>460</v>
      </c>
      <c r="D174" s="2" t="s">
        <v>461</v>
      </c>
      <c r="E174" s="43">
        <v>45848</v>
      </c>
      <c r="F174" s="42" t="s">
        <v>144</v>
      </c>
      <c r="G174" s="2">
        <v>132</v>
      </c>
      <c r="H174" s="2">
        <v>66</v>
      </c>
      <c r="I174" s="35">
        <v>66</v>
      </c>
      <c r="J174" s="48">
        <v>45821</v>
      </c>
      <c r="K174" s="48"/>
      <c r="L174" s="2"/>
      <c r="M174" s="41" t="b">
        <v>0</v>
      </c>
      <c r="N174" s="41" t="b">
        <v>0</v>
      </c>
      <c r="O174" s="41" t="b">
        <v>0</v>
      </c>
      <c r="P174" s="41" t="b">
        <v>1</v>
      </c>
    </row>
    <row r="175" spans="1:16">
      <c r="A175" s="22"/>
      <c r="B175" s="37">
        <v>173</v>
      </c>
      <c r="C175" s="2" t="s">
        <v>462</v>
      </c>
      <c r="D175" s="2" t="s">
        <v>463</v>
      </c>
      <c r="E175" s="43">
        <v>45848</v>
      </c>
      <c r="F175" s="42" t="s">
        <v>194</v>
      </c>
      <c r="G175" s="2">
        <v>66</v>
      </c>
      <c r="H175" s="2">
        <v>33</v>
      </c>
      <c r="I175" s="2">
        <v>33</v>
      </c>
      <c r="J175" s="47">
        <v>45850</v>
      </c>
      <c r="K175" s="48"/>
      <c r="L175" s="41" t="b">
        <v>0</v>
      </c>
      <c r="M175" s="41" t="b">
        <v>0</v>
      </c>
      <c r="N175" s="41" t="b">
        <v>0</v>
      </c>
      <c r="O175" s="41" t="b">
        <v>0</v>
      </c>
      <c r="P175" s="41" t="b">
        <v>1</v>
      </c>
    </row>
    <row r="176" spans="1:16">
      <c r="A176" s="22"/>
      <c r="B176" s="37">
        <v>174</v>
      </c>
      <c r="C176" s="2" t="s">
        <v>464</v>
      </c>
      <c r="D176" s="2" t="s">
        <v>465</v>
      </c>
      <c r="E176" s="43">
        <v>45848</v>
      </c>
      <c r="F176" s="42" t="s">
        <v>144</v>
      </c>
      <c r="G176" s="2">
        <v>114</v>
      </c>
      <c r="H176" s="2">
        <v>57</v>
      </c>
      <c r="I176" s="2">
        <v>57</v>
      </c>
      <c r="J176" s="47">
        <v>45852</v>
      </c>
      <c r="K176" s="48"/>
      <c r="L176" s="41" t="b">
        <v>0</v>
      </c>
      <c r="M176" s="41" t="b">
        <v>0</v>
      </c>
      <c r="N176" s="41" t="b">
        <v>0</v>
      </c>
      <c r="O176" s="41" t="b">
        <v>0</v>
      </c>
      <c r="P176" s="41" t="b">
        <v>1</v>
      </c>
    </row>
    <row r="177" spans="1:16">
      <c r="A177" s="22"/>
      <c r="B177" s="37">
        <v>175</v>
      </c>
      <c r="C177" s="2" t="s">
        <v>466</v>
      </c>
      <c r="D177" s="2" t="s">
        <v>335</v>
      </c>
      <c r="E177" s="43">
        <v>45848</v>
      </c>
      <c r="F177" s="42" t="s">
        <v>142</v>
      </c>
      <c r="G177" s="2">
        <v>131</v>
      </c>
      <c r="H177" s="2">
        <v>66</v>
      </c>
      <c r="I177" s="2">
        <v>65</v>
      </c>
      <c r="J177" s="47">
        <v>45852</v>
      </c>
      <c r="K177" s="48"/>
      <c r="L177" s="2"/>
      <c r="M177" s="41" t="b">
        <v>0</v>
      </c>
      <c r="N177" s="41" t="b">
        <v>0</v>
      </c>
      <c r="O177" s="41" t="b">
        <v>0</v>
      </c>
      <c r="P177" s="41" t="b">
        <v>1</v>
      </c>
    </row>
    <row r="178" spans="1:16">
      <c r="A178" s="22"/>
      <c r="B178" s="37">
        <v>176</v>
      </c>
      <c r="C178" s="2" t="s">
        <v>467</v>
      </c>
      <c r="D178" s="2" t="s">
        <v>468</v>
      </c>
      <c r="E178" s="43">
        <v>45848</v>
      </c>
      <c r="F178" s="42" t="s">
        <v>142</v>
      </c>
      <c r="G178" s="2">
        <v>528</v>
      </c>
      <c r="H178" s="2">
        <v>264</v>
      </c>
      <c r="I178" s="2">
        <v>264</v>
      </c>
      <c r="J178" s="47">
        <v>45855</v>
      </c>
      <c r="K178" s="48"/>
      <c r="L178" s="2"/>
      <c r="M178" s="41" t="b">
        <v>0</v>
      </c>
      <c r="N178" s="41" t="b">
        <v>0</v>
      </c>
      <c r="O178" s="41" t="b">
        <v>0</v>
      </c>
      <c r="P178" s="41" t="b">
        <v>1</v>
      </c>
    </row>
    <row r="179" spans="1:16">
      <c r="A179" s="22"/>
      <c r="B179" s="37">
        <v>177</v>
      </c>
      <c r="C179" s="2" t="s">
        <v>469</v>
      </c>
      <c r="D179" s="2" t="s">
        <v>470</v>
      </c>
      <c r="E179" s="43">
        <v>45848</v>
      </c>
      <c r="F179" s="42" t="s">
        <v>183</v>
      </c>
      <c r="G179" s="2">
        <v>60</v>
      </c>
      <c r="H179" s="2">
        <v>0</v>
      </c>
      <c r="I179" s="2">
        <v>60</v>
      </c>
      <c r="J179" s="47">
        <v>45850</v>
      </c>
      <c r="K179" s="48"/>
      <c r="L179" s="2"/>
      <c r="M179" s="41" t="b">
        <v>0</v>
      </c>
      <c r="N179" s="41" t="b">
        <v>0</v>
      </c>
      <c r="O179" s="41" t="b">
        <v>0</v>
      </c>
      <c r="P179" s="41" t="b">
        <v>0</v>
      </c>
    </row>
    <row r="180" spans="1:16">
      <c r="A180" s="22"/>
      <c r="B180" s="37">
        <v>178</v>
      </c>
      <c r="C180" s="2" t="s">
        <v>471</v>
      </c>
      <c r="D180" s="2" t="s">
        <v>472</v>
      </c>
      <c r="E180" s="43">
        <v>45850</v>
      </c>
      <c r="F180" s="42" t="s">
        <v>144</v>
      </c>
      <c r="G180" s="2">
        <v>154</v>
      </c>
      <c r="H180" s="2">
        <v>120</v>
      </c>
      <c r="I180" s="35">
        <v>34</v>
      </c>
      <c r="J180" s="48">
        <v>45821</v>
      </c>
      <c r="K180" s="48"/>
      <c r="L180" s="2"/>
      <c r="M180" s="41" t="b">
        <v>0</v>
      </c>
      <c r="N180" s="41" t="b">
        <v>0</v>
      </c>
      <c r="O180" s="41" t="b">
        <v>0</v>
      </c>
      <c r="P180" s="41" t="b">
        <v>1</v>
      </c>
    </row>
    <row r="181" spans="1:16">
      <c r="A181" s="22"/>
      <c r="B181" s="37">
        <v>179</v>
      </c>
      <c r="C181" s="2" t="s">
        <v>473</v>
      </c>
      <c r="D181" s="2" t="s">
        <v>474</v>
      </c>
      <c r="E181" s="43">
        <v>45850</v>
      </c>
      <c r="F181" s="42" t="s">
        <v>142</v>
      </c>
      <c r="G181" s="2">
        <v>495</v>
      </c>
      <c r="H181" s="2">
        <v>247.5</v>
      </c>
      <c r="I181" s="35">
        <f>tb_pedido[[#This Row],[Total]]-tb_pedido[[#This Row],[Pago]]</f>
        <v>247.5</v>
      </c>
      <c r="J181" s="48">
        <v>45822</v>
      </c>
      <c r="K181" s="48"/>
      <c r="L181" s="2"/>
      <c r="M181" s="41" t="b">
        <v>0</v>
      </c>
      <c r="N181" s="41" t="b">
        <v>0</v>
      </c>
      <c r="O181" s="41" t="b">
        <v>0</v>
      </c>
      <c r="P181" s="41" t="b">
        <v>1</v>
      </c>
    </row>
    <row r="182" spans="1:16">
      <c r="A182" s="22"/>
      <c r="B182" s="37">
        <v>180</v>
      </c>
      <c r="C182" s="2" t="s">
        <v>475</v>
      </c>
      <c r="D182" s="2" t="s">
        <v>470</v>
      </c>
      <c r="E182" s="43">
        <v>45850</v>
      </c>
      <c r="F182" s="42" t="s">
        <v>142</v>
      </c>
      <c r="G182" s="2">
        <v>33</v>
      </c>
      <c r="H182" s="2">
        <v>33</v>
      </c>
      <c r="I182" s="35">
        <v>0</v>
      </c>
      <c r="J182" s="48">
        <v>45822</v>
      </c>
      <c r="K182" s="48"/>
      <c r="L182" s="2"/>
      <c r="M182" s="41" t="b">
        <v>0</v>
      </c>
      <c r="N182" s="41" t="b">
        <v>0</v>
      </c>
      <c r="O182" s="41" t="b">
        <v>0</v>
      </c>
      <c r="P182" s="41" t="b">
        <v>1</v>
      </c>
    </row>
    <row r="183" spans="1:16">
      <c r="A183" s="22"/>
      <c r="B183" s="37">
        <v>181</v>
      </c>
      <c r="C183" s="2" t="s">
        <v>476</v>
      </c>
      <c r="D183" s="2" t="s">
        <v>470</v>
      </c>
      <c r="E183" s="43">
        <v>45850</v>
      </c>
      <c r="F183" s="42" t="s">
        <v>142</v>
      </c>
      <c r="G183" s="2">
        <v>35</v>
      </c>
      <c r="H183" s="2">
        <v>0</v>
      </c>
      <c r="I183" s="35">
        <v>35</v>
      </c>
      <c r="J183" s="48">
        <v>45822</v>
      </c>
      <c r="K183" s="48"/>
      <c r="L183" s="2"/>
      <c r="M183" s="41" t="b">
        <v>0</v>
      </c>
      <c r="N183" s="41" t="b">
        <v>0</v>
      </c>
      <c r="O183" s="41" t="b">
        <v>0</v>
      </c>
      <c r="P183" s="41" t="b">
        <v>1</v>
      </c>
    </row>
    <row r="184" spans="1:16">
      <c r="A184" s="22"/>
      <c r="B184" s="37">
        <v>182</v>
      </c>
      <c r="C184" s="2" t="s">
        <v>477</v>
      </c>
      <c r="D184" s="2" t="s">
        <v>478</v>
      </c>
      <c r="E184" s="43">
        <v>45850</v>
      </c>
      <c r="F184" s="42" t="s">
        <v>183</v>
      </c>
      <c r="G184" s="2">
        <v>156</v>
      </c>
      <c r="H184" s="2">
        <v>78</v>
      </c>
      <c r="I184" s="2">
        <v>78</v>
      </c>
      <c r="J184" s="47">
        <v>45857</v>
      </c>
      <c r="K184" s="48"/>
      <c r="L184" s="2"/>
      <c r="M184" s="41" t="b">
        <v>0</v>
      </c>
      <c r="N184" s="41" t="b">
        <v>0</v>
      </c>
      <c r="O184" s="41" t="b">
        <v>0</v>
      </c>
      <c r="P184" s="41" t="b">
        <v>1</v>
      </c>
    </row>
    <row r="185" spans="1:16">
      <c r="A185" s="22"/>
      <c r="B185" s="37">
        <v>183</v>
      </c>
      <c r="C185" s="2" t="s">
        <v>479</v>
      </c>
      <c r="D185" s="2" t="s">
        <v>480</v>
      </c>
      <c r="E185" s="43">
        <v>45850</v>
      </c>
      <c r="F185" s="42" t="s">
        <v>144</v>
      </c>
      <c r="G185" s="2">
        <v>156</v>
      </c>
      <c r="H185" s="2">
        <v>78</v>
      </c>
      <c r="I185" s="2">
        <v>78</v>
      </c>
      <c r="J185" s="47">
        <v>45857</v>
      </c>
      <c r="K185" s="48"/>
      <c r="L185" s="41" t="b">
        <v>0</v>
      </c>
      <c r="M185" s="41" t="b">
        <v>0</v>
      </c>
      <c r="N185" s="41" t="b">
        <v>0</v>
      </c>
      <c r="O185" s="41" t="b">
        <v>0</v>
      </c>
      <c r="P185" s="41" t="b">
        <v>1</v>
      </c>
    </row>
    <row r="186" spans="1:16">
      <c r="A186" s="22"/>
      <c r="B186" s="37">
        <v>184</v>
      </c>
      <c r="C186" s="2" t="s">
        <v>481</v>
      </c>
      <c r="D186" s="2" t="s">
        <v>482</v>
      </c>
      <c r="E186" s="43">
        <v>45850</v>
      </c>
      <c r="F186" s="42" t="s">
        <v>144</v>
      </c>
      <c r="G186" s="2">
        <v>156</v>
      </c>
      <c r="H186" s="2">
        <v>78</v>
      </c>
      <c r="I186" s="2">
        <v>78</v>
      </c>
      <c r="J186" s="47">
        <v>45857</v>
      </c>
      <c r="K186" s="48"/>
      <c r="L186" s="41" t="b">
        <v>0</v>
      </c>
      <c r="M186" s="41" t="b">
        <v>0</v>
      </c>
      <c r="N186" s="41" t="b">
        <v>0</v>
      </c>
      <c r="O186" s="41" t="b">
        <v>0</v>
      </c>
      <c r="P186" s="41" t="b">
        <v>1</v>
      </c>
    </row>
    <row r="187" spans="1:16">
      <c r="A187" s="22"/>
      <c r="B187" s="37">
        <v>185</v>
      </c>
      <c r="C187" s="2" t="s">
        <v>483</v>
      </c>
      <c r="D187" s="2" t="s">
        <v>484</v>
      </c>
      <c r="E187" s="43">
        <v>45850</v>
      </c>
      <c r="F187" s="42" t="s">
        <v>144</v>
      </c>
      <c r="G187" s="2">
        <v>253</v>
      </c>
      <c r="H187" s="2">
        <v>126.5</v>
      </c>
      <c r="I187" s="2">
        <v>126.5</v>
      </c>
      <c r="J187" s="47">
        <v>45852</v>
      </c>
      <c r="K187" s="48"/>
      <c r="L187" s="41" t="b">
        <v>0</v>
      </c>
      <c r="M187" s="41" t="b">
        <v>0</v>
      </c>
      <c r="N187" s="41" t="b">
        <v>0</v>
      </c>
      <c r="O187" s="41" t="b">
        <v>0</v>
      </c>
      <c r="P187" s="41" t="b">
        <v>1</v>
      </c>
    </row>
    <row r="188" spans="1:16">
      <c r="A188" s="22"/>
      <c r="B188" s="37">
        <v>186</v>
      </c>
      <c r="C188" s="2" t="s">
        <v>485</v>
      </c>
      <c r="D188" s="2" t="s">
        <v>486</v>
      </c>
      <c r="E188" s="43">
        <v>45851</v>
      </c>
      <c r="F188" s="42" t="s">
        <v>142</v>
      </c>
      <c r="G188" s="2">
        <v>34</v>
      </c>
      <c r="H188" s="2">
        <v>17</v>
      </c>
      <c r="I188" s="35">
        <v>17</v>
      </c>
      <c r="J188" s="48">
        <v>45822</v>
      </c>
      <c r="K188" s="48"/>
      <c r="L188" s="2"/>
      <c r="M188" s="41" t="b">
        <v>0</v>
      </c>
      <c r="N188" s="41" t="b">
        <v>0</v>
      </c>
      <c r="O188" s="41" t="b">
        <v>0</v>
      </c>
      <c r="P188" s="41" t="b">
        <v>1</v>
      </c>
    </row>
    <row r="189" spans="1:16">
      <c r="A189" s="22"/>
      <c r="B189" s="37">
        <v>187</v>
      </c>
      <c r="C189" s="2" t="s">
        <v>487</v>
      </c>
      <c r="D189" s="2" t="s">
        <v>488</v>
      </c>
      <c r="E189" s="43">
        <v>45851</v>
      </c>
      <c r="F189" s="42" t="s">
        <v>144</v>
      </c>
      <c r="G189" s="2">
        <v>147</v>
      </c>
      <c r="H189" s="2">
        <v>100</v>
      </c>
      <c r="I189" s="2">
        <v>47</v>
      </c>
      <c r="J189" s="47">
        <v>45850</v>
      </c>
      <c r="K189" s="48"/>
      <c r="L189" s="41" t="b">
        <v>0</v>
      </c>
      <c r="M189" s="41" t="b">
        <v>0</v>
      </c>
      <c r="N189" s="41" t="b">
        <v>0</v>
      </c>
      <c r="O189" s="41" t="b">
        <v>0</v>
      </c>
      <c r="P189" s="41" t="b">
        <v>1</v>
      </c>
    </row>
    <row r="190" spans="1:16">
      <c r="A190" s="22"/>
      <c r="B190" s="22"/>
      <c r="C190" s="22"/>
      <c r="D190" s="22"/>
      <c r="E190" s="22"/>
      <c r="F190" s="22"/>
      <c r="G190" s="22"/>
      <c r="H190" s="22"/>
      <c r="J190" s="22"/>
      <c r="K190" s="22"/>
      <c r="P190" s="22"/>
    </row>
    <row r="191" spans="1:16">
      <c r="A191" s="22"/>
      <c r="B191" s="22"/>
      <c r="C191" s="22"/>
      <c r="D191" s="22"/>
      <c r="E191" s="22"/>
      <c r="F191" s="22"/>
      <c r="G191" s="22"/>
      <c r="H191" s="22"/>
      <c r="J191" s="22"/>
      <c r="K191" s="22"/>
      <c r="P191" s="22"/>
    </row>
    <row r="192" spans="1:16">
      <c r="A192" s="22"/>
      <c r="B192" s="22"/>
      <c r="C192" s="22"/>
      <c r="D192" s="22"/>
      <c r="E192" s="22"/>
      <c r="F192" s="22"/>
      <c r="G192" s="22"/>
      <c r="H192" s="22"/>
      <c r="J192" s="22"/>
      <c r="K192" s="22"/>
      <c r="P192" s="22"/>
    </row>
    <row r="193" spans="1:16">
      <c r="A193" s="22"/>
      <c r="B193" s="22"/>
      <c r="C193" s="22"/>
      <c r="D193" s="22"/>
      <c r="E193" s="22"/>
      <c r="F193" s="22"/>
      <c r="G193" s="22"/>
      <c r="H193" s="22"/>
      <c r="J193" s="22"/>
      <c r="K193" s="22"/>
      <c r="P193" s="22"/>
    </row>
    <row r="194" spans="1:16">
      <c r="A194" s="22"/>
      <c r="B194" s="22"/>
      <c r="C194" s="22"/>
      <c r="D194" s="22"/>
      <c r="E194" s="22"/>
      <c r="F194" s="22"/>
      <c r="G194" s="22"/>
      <c r="H194" s="22"/>
      <c r="J194" s="22"/>
      <c r="K194" s="22"/>
      <c r="P194" s="22"/>
    </row>
    <row r="195" spans="1:16">
      <c r="A195" s="22"/>
      <c r="B195" s="22"/>
      <c r="C195" s="22"/>
      <c r="D195" s="22"/>
      <c r="E195" s="22"/>
      <c r="F195" s="22"/>
      <c r="G195" s="22"/>
      <c r="H195" s="22"/>
      <c r="J195" s="22"/>
      <c r="K195" s="22"/>
      <c r="P195" s="22"/>
    </row>
    <row r="196" spans="1:16">
      <c r="A196" s="22"/>
      <c r="B196" s="22"/>
      <c r="C196" s="22"/>
      <c r="D196" s="22"/>
      <c r="E196" s="22"/>
      <c r="F196" s="22"/>
      <c r="G196" s="22"/>
      <c r="H196" s="22"/>
      <c r="J196" s="22"/>
      <c r="K196" s="22"/>
      <c r="P196" s="22"/>
    </row>
    <row r="197" spans="1:16">
      <c r="A197" s="22"/>
      <c r="B197" s="22"/>
      <c r="C197" s="22"/>
      <c r="D197" s="22"/>
      <c r="E197" s="22"/>
      <c r="F197" s="22"/>
      <c r="G197" s="22"/>
      <c r="H197" s="22"/>
      <c r="J197" s="22"/>
      <c r="K197" s="22"/>
      <c r="P197" s="22"/>
    </row>
    <row r="198" spans="1:16">
      <c r="A198" s="22"/>
      <c r="B198" s="22"/>
      <c r="C198" s="22"/>
      <c r="D198" s="22"/>
      <c r="E198" s="22"/>
      <c r="F198" s="22"/>
      <c r="G198" s="22"/>
      <c r="H198" s="22"/>
      <c r="J198" s="22"/>
      <c r="K198" s="22"/>
      <c r="P198" s="22"/>
    </row>
    <row r="199" spans="1:16">
      <c r="A199" s="22"/>
      <c r="B199" s="22"/>
      <c r="C199" s="22"/>
      <c r="D199" s="22"/>
      <c r="E199" s="22"/>
      <c r="F199" s="22"/>
      <c r="G199" s="22"/>
      <c r="H199" s="22"/>
      <c r="J199" s="22"/>
      <c r="K199" s="22"/>
      <c r="P199" s="22"/>
    </row>
    <row r="200" spans="1:16">
      <c r="A200" s="22"/>
      <c r="B200" s="22"/>
      <c r="C200" s="22"/>
      <c r="D200" s="22"/>
      <c r="E200" s="22"/>
      <c r="F200" s="22"/>
      <c r="G200" s="22"/>
      <c r="H200" s="22"/>
      <c r="J200" s="22"/>
      <c r="K200" s="22"/>
      <c r="P200" s="22"/>
    </row>
    <row r="201" spans="1:16">
      <c r="A201" s="22"/>
      <c r="B201" s="22"/>
      <c r="C201" s="22"/>
      <c r="D201" s="22"/>
      <c r="E201" s="22"/>
      <c r="F201" s="22"/>
      <c r="G201" s="22"/>
      <c r="H201" s="22"/>
      <c r="J201" s="22"/>
      <c r="K201" s="22"/>
      <c r="P201" s="22"/>
    </row>
    <row r="202" spans="1:16">
      <c r="A202" s="22"/>
      <c r="B202" s="22"/>
      <c r="C202" s="22"/>
      <c r="D202" s="22"/>
      <c r="E202" s="22"/>
      <c r="F202" s="22"/>
      <c r="G202" s="22"/>
      <c r="H202" s="22"/>
      <c r="J202" s="22"/>
      <c r="K202" s="22"/>
      <c r="P202" s="22"/>
    </row>
    <row r="203" spans="1:16">
      <c r="A203" s="22"/>
      <c r="B203" s="22"/>
      <c r="C203" s="22"/>
      <c r="D203" s="22"/>
      <c r="E203" s="22"/>
      <c r="F203" s="22"/>
      <c r="G203" s="22"/>
      <c r="H203" s="22"/>
      <c r="J203" s="22"/>
      <c r="K203" s="22"/>
      <c r="P203" s="22"/>
    </row>
    <row r="204" spans="1:16">
      <c r="A204" s="22"/>
      <c r="B204" s="22"/>
      <c r="C204" s="22"/>
      <c r="D204" s="22"/>
      <c r="E204" s="22"/>
      <c r="F204" s="22"/>
      <c r="G204" s="22"/>
      <c r="H204" s="22"/>
      <c r="J204" s="22"/>
      <c r="K204" s="22"/>
      <c r="P204" s="22"/>
    </row>
    <row r="205" spans="1:16">
      <c r="A205" s="22"/>
      <c r="B205" s="22"/>
      <c r="C205" s="22"/>
      <c r="D205" s="22"/>
      <c r="E205" s="22"/>
      <c r="F205" s="22"/>
      <c r="G205" s="22"/>
      <c r="H205" s="22"/>
      <c r="J205" s="22"/>
      <c r="K205" s="22"/>
      <c r="P205" s="22"/>
    </row>
    <row r="206" spans="1:16">
      <c r="A206" s="22"/>
      <c r="B206" s="22"/>
      <c r="C206" s="22"/>
      <c r="D206" s="22"/>
      <c r="E206" s="22"/>
      <c r="F206" s="22"/>
      <c r="G206" s="22"/>
      <c r="H206" s="22"/>
      <c r="J206" s="22"/>
      <c r="K206" s="22"/>
      <c r="P206" s="22"/>
    </row>
    <row r="207" spans="1:16">
      <c r="A207" s="22"/>
      <c r="B207" s="22"/>
      <c r="C207" s="22"/>
      <c r="D207" s="22"/>
      <c r="E207" s="22"/>
      <c r="F207" s="22"/>
      <c r="G207" s="22"/>
      <c r="H207" s="22"/>
      <c r="J207" s="22"/>
      <c r="K207" s="22"/>
      <c r="P207" s="22"/>
    </row>
    <row r="208" spans="1:16">
      <c r="A208" s="22"/>
      <c r="B208" s="22"/>
      <c r="C208" s="22"/>
      <c r="D208" s="22"/>
      <c r="E208" s="22"/>
      <c r="F208" s="22"/>
      <c r="G208" s="22"/>
      <c r="H208" s="22"/>
      <c r="J208" s="22"/>
      <c r="K208" s="22"/>
      <c r="P208" s="22"/>
    </row>
    <row r="209" spans="1:16">
      <c r="A209" s="22"/>
      <c r="B209" s="22"/>
      <c r="C209" s="22"/>
      <c r="D209" s="22"/>
      <c r="E209" s="22"/>
      <c r="F209" s="22"/>
      <c r="G209" s="22"/>
      <c r="H209" s="22"/>
      <c r="J209" s="22"/>
      <c r="K209" s="22"/>
      <c r="P209" s="22"/>
    </row>
    <row r="210" spans="1:16">
      <c r="A210" s="22"/>
      <c r="B210" s="22"/>
      <c r="C210" s="22"/>
      <c r="D210" s="22"/>
      <c r="E210" s="22"/>
      <c r="F210" s="22"/>
      <c r="G210" s="22"/>
      <c r="H210" s="22"/>
      <c r="J210" s="22"/>
      <c r="K210" s="22"/>
      <c r="P210" s="22"/>
    </row>
    <row r="211" spans="1:16">
      <c r="A211" s="22"/>
      <c r="B211" s="22"/>
      <c r="C211" s="22"/>
      <c r="D211" s="22"/>
      <c r="E211" s="22"/>
      <c r="F211" s="22"/>
      <c r="G211" s="22"/>
      <c r="H211" s="22"/>
      <c r="J211" s="22"/>
      <c r="K211" s="22"/>
      <c r="P211" s="22"/>
    </row>
    <row r="212" spans="1:16">
      <c r="A212" s="22"/>
      <c r="B212" s="22"/>
      <c r="C212" s="22"/>
      <c r="D212" s="22"/>
      <c r="E212" s="22"/>
      <c r="F212" s="22"/>
      <c r="G212" s="22"/>
      <c r="H212" s="22"/>
      <c r="J212" s="22"/>
      <c r="K212" s="22"/>
      <c r="P212" s="22"/>
    </row>
    <row r="213" spans="1:16">
      <c r="A213" s="22"/>
      <c r="B213" s="22"/>
      <c r="C213" s="22"/>
      <c r="D213" s="22"/>
      <c r="E213" s="22"/>
      <c r="F213" s="22"/>
      <c r="G213" s="22"/>
      <c r="H213" s="22"/>
      <c r="J213" s="22"/>
      <c r="K213" s="22"/>
      <c r="P213" s="22"/>
    </row>
    <row r="214" spans="1:16">
      <c r="A214" s="22"/>
      <c r="B214" s="22"/>
      <c r="C214" s="22"/>
      <c r="D214" s="22"/>
      <c r="E214" s="22"/>
      <c r="F214" s="22"/>
      <c r="G214" s="22"/>
      <c r="H214" s="22"/>
      <c r="J214" s="22"/>
      <c r="K214" s="22"/>
      <c r="P214" s="22"/>
    </row>
    <row r="215" spans="1:16">
      <c r="A215" s="22"/>
      <c r="B215" s="22"/>
      <c r="C215" s="22"/>
      <c r="D215" s="22"/>
      <c r="E215" s="22"/>
      <c r="F215" s="22"/>
      <c r="G215" s="22"/>
      <c r="H215" s="22"/>
      <c r="J215" s="22"/>
      <c r="K215" s="22"/>
      <c r="P215" s="22"/>
    </row>
    <row r="216" spans="1:16">
      <c r="A216" s="22"/>
      <c r="B216" s="22"/>
      <c r="C216" s="22"/>
      <c r="D216" s="22"/>
      <c r="E216" s="22"/>
      <c r="F216" s="22"/>
      <c r="G216" s="22"/>
      <c r="H216" s="22"/>
      <c r="J216" s="22"/>
      <c r="K216" s="22"/>
      <c r="P216" s="22"/>
    </row>
    <row r="217" spans="1:16">
      <c r="A217" s="22"/>
      <c r="B217" s="22"/>
      <c r="C217" s="22"/>
      <c r="D217" s="22"/>
      <c r="E217" s="22"/>
      <c r="F217" s="22"/>
      <c r="G217" s="22"/>
      <c r="H217" s="22"/>
      <c r="J217" s="22"/>
      <c r="K217" s="22"/>
      <c r="P217" s="22"/>
    </row>
    <row r="218" spans="1:16">
      <c r="A218" s="22"/>
      <c r="B218" s="22"/>
      <c r="C218" s="22"/>
      <c r="D218" s="22"/>
      <c r="E218" s="22"/>
      <c r="F218" s="22"/>
      <c r="G218" s="22"/>
      <c r="H218" s="22"/>
      <c r="J218" s="22"/>
      <c r="K218" s="22"/>
      <c r="P218" s="22"/>
    </row>
    <row r="219" spans="1:16">
      <c r="A219" s="22"/>
      <c r="B219" s="22"/>
      <c r="C219" s="22"/>
      <c r="D219" s="22"/>
      <c r="E219" s="22"/>
      <c r="F219" s="22"/>
      <c r="G219" s="22"/>
      <c r="H219" s="22"/>
      <c r="J219" s="22"/>
      <c r="K219" s="22"/>
      <c r="P219" s="22"/>
    </row>
    <row r="220" spans="1:16">
      <c r="A220" s="22"/>
      <c r="B220" s="22"/>
      <c r="C220" s="22"/>
      <c r="D220" s="22"/>
      <c r="E220" s="22"/>
      <c r="F220" s="22"/>
      <c r="G220" s="22"/>
      <c r="H220" s="22"/>
      <c r="J220" s="22"/>
      <c r="K220" s="22"/>
      <c r="P220" s="22"/>
    </row>
    <row r="221" spans="1:16">
      <c r="A221" s="22"/>
      <c r="B221" s="22"/>
      <c r="C221" s="22"/>
      <c r="D221" s="22"/>
      <c r="E221" s="22"/>
      <c r="F221" s="22"/>
      <c r="G221" s="22"/>
      <c r="H221" s="22"/>
      <c r="J221" s="22"/>
      <c r="K221" s="22"/>
      <c r="P221" s="22"/>
    </row>
    <row r="222" spans="1:16">
      <c r="A222" s="22"/>
      <c r="B222" s="22"/>
      <c r="C222" s="22"/>
      <c r="D222" s="22"/>
      <c r="E222" s="22"/>
      <c r="F222" s="22"/>
      <c r="G222" s="22"/>
      <c r="H222" s="22"/>
      <c r="J222" s="22"/>
      <c r="K222" s="22"/>
      <c r="P222" s="22"/>
    </row>
    <row r="223" spans="1:16">
      <c r="A223" s="22"/>
      <c r="B223" s="22"/>
      <c r="C223" s="22"/>
      <c r="D223" s="22"/>
      <c r="E223" s="22"/>
      <c r="F223" s="22"/>
      <c r="G223" s="22"/>
      <c r="H223" s="22"/>
      <c r="J223" s="22"/>
      <c r="K223" s="22"/>
      <c r="P223" s="22"/>
    </row>
    <row r="224" spans="1:16">
      <c r="A224" s="22"/>
      <c r="B224" s="22"/>
      <c r="C224" s="22"/>
      <c r="D224" s="22"/>
      <c r="E224" s="22"/>
      <c r="F224" s="22"/>
      <c r="G224" s="22"/>
      <c r="H224" s="22"/>
      <c r="J224" s="22"/>
      <c r="K224" s="22"/>
      <c r="P224" s="22"/>
    </row>
    <row r="225" spans="1:16">
      <c r="A225" s="22"/>
      <c r="B225" s="22"/>
      <c r="C225" s="22"/>
      <c r="D225" s="22"/>
      <c r="E225" s="22"/>
      <c r="F225" s="22"/>
      <c r="G225" s="22"/>
      <c r="H225" s="22"/>
      <c r="J225" s="22"/>
      <c r="K225" s="22"/>
      <c r="P225" s="22"/>
    </row>
    <row r="226" spans="1:16">
      <c r="A226" s="22"/>
      <c r="B226" s="22"/>
      <c r="C226" s="22"/>
      <c r="D226" s="22"/>
      <c r="E226" s="22"/>
      <c r="F226" s="22"/>
      <c r="G226" s="22"/>
      <c r="H226" s="22"/>
      <c r="J226" s="22"/>
      <c r="K226" s="22"/>
      <c r="P226" s="22"/>
    </row>
    <row r="227" spans="1:16">
      <c r="A227" s="22"/>
      <c r="B227" s="22"/>
      <c r="C227" s="22"/>
      <c r="D227" s="22"/>
      <c r="E227" s="22"/>
      <c r="F227" s="22"/>
      <c r="G227" s="22"/>
      <c r="H227" s="22"/>
      <c r="J227" s="22"/>
      <c r="K227" s="22"/>
      <c r="P227" s="22"/>
    </row>
    <row r="228" spans="1:16">
      <c r="A228" s="22"/>
      <c r="B228" s="22"/>
      <c r="C228" s="22"/>
      <c r="D228" s="22"/>
      <c r="E228" s="22"/>
      <c r="F228" s="22"/>
      <c r="G228" s="22"/>
      <c r="H228" s="22"/>
      <c r="J228" s="22"/>
      <c r="K228" s="22"/>
      <c r="P228" s="22"/>
    </row>
    <row r="229" spans="1:16">
      <c r="A229" s="22"/>
      <c r="B229" s="22"/>
      <c r="C229" s="22"/>
      <c r="D229" s="22"/>
      <c r="E229" s="22"/>
      <c r="F229" s="22"/>
      <c r="G229" s="22"/>
      <c r="H229" s="22"/>
      <c r="J229" s="22"/>
      <c r="K229" s="22"/>
      <c r="P229" s="22"/>
    </row>
    <row r="230" spans="1:16">
      <c r="A230" s="22"/>
      <c r="B230" s="22"/>
      <c r="C230" s="22"/>
      <c r="D230" s="22"/>
      <c r="E230" s="22"/>
      <c r="F230" s="22"/>
      <c r="G230" s="22"/>
      <c r="H230" s="22"/>
      <c r="J230" s="22"/>
      <c r="K230" s="22"/>
      <c r="P230" s="22"/>
    </row>
    <row r="231" spans="1:16">
      <c r="A231" s="22"/>
      <c r="B231" s="22"/>
      <c r="C231" s="22"/>
      <c r="D231" s="22"/>
      <c r="E231" s="22"/>
      <c r="F231" s="22"/>
      <c r="G231" s="22"/>
      <c r="H231" s="22"/>
      <c r="J231" s="22"/>
      <c r="K231" s="22"/>
      <c r="P231" s="22"/>
    </row>
    <row r="232" spans="1:16">
      <c r="A232" s="22"/>
      <c r="B232" s="22"/>
      <c r="C232" s="22"/>
      <c r="D232" s="22"/>
      <c r="E232" s="22"/>
      <c r="F232" s="22"/>
      <c r="G232" s="22"/>
      <c r="H232" s="22"/>
      <c r="J232" s="22"/>
      <c r="K232" s="22"/>
      <c r="P232" s="22"/>
    </row>
    <row r="233" spans="1:16">
      <c r="A233" s="22"/>
      <c r="B233" s="22"/>
      <c r="C233" s="22"/>
      <c r="D233" s="22"/>
      <c r="E233" s="22"/>
      <c r="F233" s="22"/>
      <c r="G233" s="22"/>
      <c r="H233" s="22"/>
      <c r="J233" s="22"/>
      <c r="K233" s="22"/>
      <c r="P233" s="22"/>
    </row>
    <row r="234" spans="1:16">
      <c r="A234" s="22"/>
      <c r="B234" s="22"/>
      <c r="C234" s="22"/>
      <c r="D234" s="22"/>
      <c r="E234" s="22"/>
      <c r="F234" s="22"/>
      <c r="G234" s="22"/>
      <c r="H234" s="22"/>
      <c r="J234" s="22"/>
      <c r="K234" s="22"/>
      <c r="P234" s="22"/>
    </row>
    <row r="235" spans="1:16">
      <c r="A235" s="22"/>
      <c r="B235" s="22"/>
      <c r="C235" s="22"/>
      <c r="D235" s="22"/>
      <c r="E235" s="22"/>
      <c r="F235" s="22"/>
      <c r="G235" s="22"/>
      <c r="H235" s="22"/>
      <c r="J235" s="22"/>
      <c r="K235" s="22"/>
      <c r="P235" s="22"/>
    </row>
    <row r="236" spans="1:16">
      <c r="A236" s="22"/>
      <c r="B236" s="22"/>
      <c r="C236" s="22"/>
      <c r="D236" s="22"/>
      <c r="E236" s="22"/>
      <c r="F236" s="22"/>
      <c r="G236" s="22"/>
      <c r="H236" s="22"/>
      <c r="J236" s="22"/>
      <c r="K236" s="22"/>
      <c r="P236" s="22"/>
    </row>
    <row r="237" spans="1:16">
      <c r="A237" s="22"/>
      <c r="B237" s="22"/>
      <c r="C237" s="22"/>
      <c r="D237" s="22"/>
      <c r="E237" s="22"/>
      <c r="F237" s="22"/>
      <c r="G237" s="22"/>
      <c r="H237" s="22"/>
      <c r="J237" s="22"/>
      <c r="K237" s="22"/>
      <c r="P237" s="22"/>
    </row>
    <row r="238" spans="1:16">
      <c r="A238" s="22"/>
      <c r="B238" s="22"/>
      <c r="C238" s="22"/>
      <c r="D238" s="22"/>
      <c r="E238" s="22"/>
      <c r="F238" s="22"/>
      <c r="G238" s="22"/>
      <c r="H238" s="22"/>
      <c r="J238" s="22"/>
      <c r="K238" s="22"/>
      <c r="P238" s="22"/>
    </row>
    <row r="239" spans="1:16">
      <c r="A239" s="22"/>
      <c r="B239" s="22"/>
      <c r="C239" s="22"/>
      <c r="D239" s="22"/>
      <c r="E239" s="22"/>
      <c r="F239" s="22"/>
      <c r="G239" s="22"/>
      <c r="H239" s="22"/>
      <c r="J239" s="22"/>
      <c r="K239" s="22"/>
      <c r="P239" s="22"/>
    </row>
    <row r="240" spans="1:16">
      <c r="A240" s="22"/>
      <c r="B240" s="22"/>
      <c r="C240" s="22"/>
      <c r="D240" s="22"/>
      <c r="E240" s="22"/>
      <c r="F240" s="22"/>
      <c r="G240" s="22"/>
      <c r="H240" s="22"/>
      <c r="J240" s="22"/>
      <c r="K240" s="22"/>
      <c r="P240" s="22"/>
    </row>
    <row r="241" spans="1:16">
      <c r="A241" s="22"/>
      <c r="B241" s="22"/>
      <c r="C241" s="22"/>
      <c r="D241" s="22"/>
      <c r="E241" s="22"/>
      <c r="F241" s="22"/>
      <c r="G241" s="22"/>
      <c r="H241" s="22"/>
      <c r="J241" s="22"/>
      <c r="K241" s="22"/>
      <c r="P241" s="22"/>
    </row>
    <row r="242" spans="1:16">
      <c r="A242" s="22"/>
      <c r="B242" s="22"/>
      <c r="C242" s="22"/>
      <c r="D242" s="22"/>
      <c r="E242" s="22"/>
      <c r="F242" s="22"/>
      <c r="G242" s="22"/>
      <c r="H242" s="22"/>
      <c r="J242" s="22"/>
      <c r="K242" s="22"/>
      <c r="P242" s="22"/>
    </row>
    <row r="243" spans="1:16">
      <c r="A243" s="22"/>
      <c r="B243" s="22"/>
      <c r="C243" s="22"/>
      <c r="D243" s="22"/>
      <c r="E243" s="22"/>
      <c r="F243" s="22"/>
      <c r="G243" s="22"/>
      <c r="H243" s="22"/>
      <c r="J243" s="22"/>
      <c r="K243" s="22"/>
      <c r="P243" s="22"/>
    </row>
    <row r="244" spans="1:16">
      <c r="A244" s="22"/>
      <c r="B244" s="22"/>
      <c r="C244" s="22"/>
      <c r="D244" s="22"/>
      <c r="E244" s="22"/>
      <c r="F244" s="22"/>
      <c r="G244" s="22"/>
      <c r="H244" s="22"/>
      <c r="J244" s="22"/>
      <c r="K244" s="22"/>
      <c r="P244" s="22"/>
    </row>
    <row r="245" spans="1:16">
      <c r="A245" s="22"/>
      <c r="B245" s="22"/>
      <c r="C245" s="22"/>
      <c r="D245" s="22"/>
      <c r="E245" s="22"/>
      <c r="F245" s="22"/>
      <c r="G245" s="22"/>
      <c r="H245" s="22"/>
      <c r="J245" s="22"/>
      <c r="K245" s="22"/>
      <c r="P245" s="22"/>
    </row>
    <row r="246" spans="1:16">
      <c r="A246" s="22"/>
      <c r="B246" s="22"/>
      <c r="C246" s="22"/>
      <c r="D246" s="22"/>
      <c r="E246" s="22"/>
      <c r="F246" s="22"/>
      <c r="G246" s="22"/>
      <c r="H246" s="22"/>
      <c r="J246" s="22"/>
      <c r="K246" s="22"/>
      <c r="P246" s="22"/>
    </row>
    <row r="247" spans="1:16">
      <c r="A247" s="22"/>
      <c r="B247" s="22"/>
      <c r="C247" s="22"/>
      <c r="D247" s="22"/>
      <c r="E247" s="22"/>
      <c r="F247" s="22"/>
      <c r="G247" s="22"/>
      <c r="H247" s="22"/>
      <c r="J247" s="22"/>
      <c r="K247" s="22"/>
      <c r="P247" s="22"/>
    </row>
    <row r="248" spans="1:16">
      <c r="A248" s="22"/>
      <c r="B248" s="22"/>
      <c r="C248" s="22"/>
      <c r="D248" s="22"/>
      <c r="E248" s="22"/>
      <c r="F248" s="22"/>
      <c r="G248" s="22"/>
      <c r="H248" s="22"/>
      <c r="J248" s="22"/>
      <c r="K248" s="22"/>
      <c r="P248" s="22"/>
    </row>
    <row r="249" spans="1:16">
      <c r="A249" s="22"/>
      <c r="B249" s="22"/>
      <c r="C249" s="22"/>
      <c r="D249" s="22"/>
      <c r="E249" s="22"/>
      <c r="F249" s="22"/>
      <c r="G249" s="22"/>
      <c r="H249" s="22"/>
      <c r="J249" s="22"/>
      <c r="K249" s="22"/>
      <c r="P249" s="22"/>
    </row>
    <row r="250" spans="1:16">
      <c r="A250" s="22"/>
      <c r="B250" s="22"/>
      <c r="C250" s="22"/>
      <c r="D250" s="22"/>
      <c r="E250" s="22"/>
      <c r="F250" s="22"/>
      <c r="G250" s="22"/>
      <c r="H250" s="22"/>
      <c r="J250" s="22"/>
      <c r="K250" s="22"/>
      <c r="P250" s="22"/>
    </row>
    <row r="251" spans="1:16">
      <c r="A251" s="22"/>
      <c r="B251" s="22"/>
      <c r="C251" s="22"/>
      <c r="D251" s="22"/>
      <c r="E251" s="22"/>
      <c r="F251" s="22"/>
      <c r="G251" s="22"/>
      <c r="H251" s="22"/>
      <c r="J251" s="22"/>
      <c r="K251" s="22"/>
      <c r="P251" s="22"/>
    </row>
    <row r="252" spans="1:16">
      <c r="A252" s="22"/>
      <c r="B252" s="22"/>
      <c r="C252" s="22"/>
      <c r="D252" s="22"/>
      <c r="E252" s="22"/>
      <c r="F252" s="22"/>
      <c r="G252" s="22"/>
      <c r="H252" s="22"/>
      <c r="J252" s="22"/>
      <c r="K252" s="22"/>
      <c r="P252" s="22"/>
    </row>
    <row r="253" spans="1:16">
      <c r="A253" s="22"/>
      <c r="B253" s="22"/>
      <c r="C253" s="22"/>
      <c r="D253" s="22"/>
      <c r="E253" s="22"/>
      <c r="F253" s="22"/>
      <c r="G253" s="22"/>
      <c r="H253" s="22"/>
      <c r="J253" s="22"/>
      <c r="K253" s="22"/>
      <c r="P253" s="22"/>
    </row>
    <row r="254" spans="1:16">
      <c r="A254" s="22"/>
      <c r="B254" s="22"/>
      <c r="C254" s="22"/>
      <c r="D254" s="22"/>
      <c r="E254" s="22"/>
      <c r="F254" s="22"/>
      <c r="G254" s="22"/>
      <c r="H254" s="22"/>
      <c r="J254" s="22"/>
      <c r="K254" s="22"/>
      <c r="P254" s="22"/>
    </row>
    <row r="255" spans="1:16">
      <c r="A255" s="22"/>
      <c r="B255" s="22"/>
      <c r="C255" s="22"/>
      <c r="D255" s="22"/>
      <c r="E255" s="22"/>
      <c r="F255" s="22"/>
      <c r="G255" s="22"/>
      <c r="H255" s="22"/>
      <c r="J255" s="22"/>
      <c r="K255" s="22"/>
      <c r="P255" s="22"/>
    </row>
    <row r="256" spans="1:16">
      <c r="A256" s="22"/>
      <c r="B256" s="22"/>
      <c r="C256" s="22"/>
      <c r="D256" s="22"/>
      <c r="E256" s="22"/>
      <c r="F256" s="22"/>
      <c r="G256" s="22"/>
      <c r="H256" s="22"/>
      <c r="J256" s="22"/>
      <c r="K256" s="22"/>
      <c r="P256" s="22"/>
    </row>
    <row r="257" spans="1:16">
      <c r="A257" s="22"/>
      <c r="B257" s="22"/>
      <c r="C257" s="22"/>
      <c r="D257" s="22"/>
      <c r="E257" s="22"/>
      <c r="F257" s="22"/>
      <c r="G257" s="22"/>
      <c r="H257" s="22"/>
      <c r="J257" s="22"/>
      <c r="K257" s="22"/>
      <c r="P257" s="22"/>
    </row>
    <row r="258" spans="1:16">
      <c r="A258" s="22"/>
      <c r="B258" s="22"/>
      <c r="C258" s="22"/>
      <c r="D258" s="22"/>
      <c r="E258" s="22"/>
      <c r="F258" s="22"/>
      <c r="G258" s="22"/>
      <c r="H258" s="22"/>
      <c r="J258" s="22"/>
      <c r="K258" s="22"/>
      <c r="P258" s="22"/>
    </row>
    <row r="259" spans="1:16">
      <c r="A259" s="22"/>
      <c r="B259" s="22"/>
      <c r="C259" s="22"/>
      <c r="D259" s="22"/>
      <c r="E259" s="22"/>
      <c r="F259" s="22"/>
      <c r="G259" s="22"/>
      <c r="H259" s="22"/>
      <c r="J259" s="22"/>
      <c r="K259" s="22"/>
      <c r="P259" s="22"/>
    </row>
    <row r="260" spans="1:16">
      <c r="A260" s="22"/>
      <c r="B260" s="22"/>
      <c r="C260" s="22"/>
      <c r="D260" s="22"/>
      <c r="E260" s="22"/>
      <c r="F260" s="22"/>
      <c r="G260" s="22"/>
      <c r="H260" s="22"/>
      <c r="J260" s="22"/>
      <c r="K260" s="22"/>
      <c r="P260" s="22"/>
    </row>
    <row r="261" spans="1:16">
      <c r="A261" s="22"/>
      <c r="B261" s="22"/>
      <c r="C261" s="22"/>
      <c r="D261" s="22"/>
      <c r="E261" s="22"/>
      <c r="F261" s="22"/>
      <c r="G261" s="22"/>
      <c r="H261" s="22"/>
      <c r="J261" s="22"/>
      <c r="K261" s="22"/>
      <c r="P261" s="22"/>
    </row>
    <row r="262" spans="1:16">
      <c r="A262" s="22"/>
      <c r="B262" s="22"/>
      <c r="C262" s="22"/>
      <c r="D262" s="22"/>
      <c r="E262" s="22"/>
      <c r="F262" s="22"/>
      <c r="G262" s="22"/>
      <c r="H262" s="22"/>
      <c r="J262" s="22"/>
      <c r="K262" s="22"/>
      <c r="P262" s="22"/>
    </row>
    <row r="263" spans="1:16">
      <c r="A263" s="22"/>
      <c r="B263" s="22"/>
      <c r="C263" s="22"/>
      <c r="D263" s="22"/>
      <c r="E263" s="22"/>
      <c r="F263" s="22"/>
      <c r="G263" s="22"/>
      <c r="H263" s="22"/>
      <c r="J263" s="22"/>
      <c r="K263" s="22"/>
      <c r="P263" s="22"/>
    </row>
    <row r="264" spans="1:16">
      <c r="A264" s="22"/>
      <c r="B264" s="22"/>
      <c r="C264" s="22"/>
      <c r="D264" s="22"/>
      <c r="E264" s="22"/>
      <c r="F264" s="22"/>
      <c r="G264" s="22"/>
      <c r="H264" s="22"/>
      <c r="J264" s="22"/>
      <c r="K264" s="22"/>
      <c r="P264" s="22"/>
    </row>
    <row r="265" spans="1:16">
      <c r="A265" s="22"/>
      <c r="B265" s="22"/>
      <c r="C265" s="22"/>
      <c r="D265" s="22"/>
      <c r="E265" s="22"/>
      <c r="F265" s="22"/>
      <c r="G265" s="22"/>
      <c r="H265" s="22"/>
      <c r="J265" s="22"/>
      <c r="K265" s="22"/>
      <c r="P265" s="22"/>
    </row>
    <row r="266" spans="1:16">
      <c r="A266" s="22"/>
      <c r="B266" s="22"/>
      <c r="C266" s="22"/>
      <c r="D266" s="22"/>
      <c r="E266" s="22"/>
      <c r="F266" s="22"/>
      <c r="G266" s="22"/>
      <c r="H266" s="22"/>
      <c r="J266" s="22"/>
      <c r="K266" s="22"/>
      <c r="P266" s="22"/>
    </row>
    <row r="267" spans="1:16">
      <c r="A267" s="22"/>
      <c r="B267" s="22"/>
      <c r="C267" s="22"/>
      <c r="D267" s="22"/>
      <c r="E267" s="22"/>
      <c r="F267" s="22"/>
      <c r="G267" s="22"/>
      <c r="H267" s="22"/>
      <c r="J267" s="22"/>
      <c r="K267" s="22"/>
      <c r="P267" s="22"/>
    </row>
    <row r="268" spans="1:16">
      <c r="A268" s="22"/>
      <c r="B268" s="22"/>
      <c r="C268" s="22"/>
      <c r="D268" s="22"/>
      <c r="E268" s="22"/>
      <c r="F268" s="22"/>
      <c r="G268" s="22"/>
      <c r="H268" s="22"/>
      <c r="J268" s="22"/>
      <c r="K268" s="22"/>
      <c r="P268" s="22"/>
    </row>
    <row r="269" spans="1:16">
      <c r="A269" s="22"/>
      <c r="B269" s="22"/>
      <c r="C269" s="22"/>
      <c r="D269" s="22"/>
      <c r="E269" s="22"/>
      <c r="F269" s="22"/>
      <c r="G269" s="22"/>
      <c r="H269" s="22"/>
      <c r="J269" s="22"/>
      <c r="K269" s="22"/>
      <c r="P269" s="22"/>
    </row>
    <row r="270" spans="1:16">
      <c r="A270" s="22"/>
      <c r="B270" s="22"/>
      <c r="C270" s="22"/>
      <c r="D270" s="22"/>
      <c r="E270" s="22"/>
      <c r="F270" s="22"/>
      <c r="G270" s="22"/>
      <c r="H270" s="22"/>
      <c r="J270" s="22"/>
      <c r="K270" s="22"/>
      <c r="P270" s="22"/>
    </row>
    <row r="271" spans="1:16">
      <c r="A271" s="22"/>
      <c r="B271" s="22"/>
      <c r="C271" s="22"/>
      <c r="D271" s="22"/>
      <c r="E271" s="22"/>
      <c r="F271" s="22"/>
      <c r="G271" s="22"/>
      <c r="H271" s="22"/>
      <c r="J271" s="22"/>
      <c r="K271" s="22"/>
      <c r="P271" s="22"/>
    </row>
    <row r="272" spans="1:16">
      <c r="A272" s="22"/>
      <c r="B272" s="22"/>
      <c r="C272" s="22"/>
      <c r="D272" s="22"/>
      <c r="E272" s="22"/>
      <c r="F272" s="22"/>
      <c r="G272" s="22"/>
      <c r="H272" s="22"/>
      <c r="J272" s="22"/>
      <c r="K272" s="22"/>
      <c r="P272" s="22"/>
    </row>
    <row r="273" spans="1:16">
      <c r="A273" s="22"/>
      <c r="B273" s="22"/>
      <c r="C273" s="22"/>
      <c r="D273" s="22"/>
      <c r="E273" s="22"/>
      <c r="F273" s="22"/>
      <c r="G273" s="22"/>
      <c r="H273" s="22"/>
      <c r="J273" s="22"/>
      <c r="K273" s="22"/>
      <c r="P273" s="22"/>
    </row>
    <row r="274" spans="1:16">
      <c r="A274" s="22"/>
      <c r="B274" s="22"/>
      <c r="C274" s="22"/>
      <c r="D274" s="22"/>
      <c r="E274" s="22"/>
      <c r="F274" s="22"/>
      <c r="G274" s="22"/>
      <c r="H274" s="22"/>
      <c r="J274" s="22"/>
      <c r="K274" s="22"/>
      <c r="P274" s="22"/>
    </row>
    <row r="275" spans="1:16">
      <c r="A275" s="22"/>
      <c r="B275" s="22"/>
      <c r="C275" s="22"/>
      <c r="D275" s="22"/>
      <c r="E275" s="22"/>
      <c r="F275" s="22"/>
      <c r="G275" s="22"/>
      <c r="H275" s="22"/>
      <c r="J275" s="22"/>
      <c r="K275" s="22"/>
      <c r="P275" s="22"/>
    </row>
    <row r="276" spans="1:16">
      <c r="A276" s="22"/>
      <c r="B276" s="22"/>
      <c r="C276" s="22"/>
      <c r="D276" s="22"/>
      <c r="E276" s="22"/>
      <c r="F276" s="22"/>
      <c r="G276" s="22"/>
      <c r="H276" s="22"/>
      <c r="J276" s="22"/>
      <c r="K276" s="22"/>
      <c r="P276" s="22"/>
    </row>
    <row r="277" spans="1:16">
      <c r="A277" s="22"/>
      <c r="B277" s="22"/>
      <c r="C277" s="22"/>
      <c r="D277" s="22"/>
      <c r="E277" s="22"/>
      <c r="F277" s="22"/>
      <c r="G277" s="22"/>
      <c r="H277" s="22"/>
      <c r="J277" s="22"/>
      <c r="K277" s="22"/>
      <c r="P277" s="22"/>
    </row>
    <row r="278" spans="1:16">
      <c r="A278" s="22"/>
      <c r="B278" s="22"/>
      <c r="C278" s="22"/>
      <c r="D278" s="22"/>
      <c r="E278" s="22"/>
      <c r="F278" s="22"/>
      <c r="G278" s="22"/>
      <c r="H278" s="22"/>
      <c r="J278" s="22"/>
      <c r="K278" s="22"/>
      <c r="P278" s="22"/>
    </row>
    <row r="279" spans="1:16">
      <c r="A279" s="22"/>
      <c r="B279" s="22"/>
      <c r="C279" s="22"/>
      <c r="D279" s="22"/>
      <c r="E279" s="22"/>
      <c r="F279" s="22"/>
      <c r="G279" s="22"/>
      <c r="H279" s="22"/>
      <c r="J279" s="22"/>
      <c r="K279" s="22"/>
      <c r="P279" s="22"/>
    </row>
    <row r="280" spans="1:16">
      <c r="A280" s="22"/>
      <c r="B280" s="22"/>
      <c r="C280" s="22"/>
      <c r="D280" s="22"/>
      <c r="E280" s="22"/>
      <c r="F280" s="22"/>
      <c r="G280" s="22"/>
      <c r="H280" s="22"/>
      <c r="J280" s="22"/>
      <c r="K280" s="22"/>
      <c r="P280" s="22"/>
    </row>
    <row r="281" spans="1:16">
      <c r="A281" s="22"/>
      <c r="B281" s="22"/>
      <c r="C281" s="22"/>
      <c r="D281" s="22"/>
      <c r="E281" s="22"/>
      <c r="F281" s="22"/>
      <c r="G281" s="22"/>
      <c r="H281" s="22"/>
      <c r="J281" s="22"/>
      <c r="K281" s="22"/>
      <c r="P281" s="22"/>
    </row>
    <row r="282" spans="1:16">
      <c r="A282" s="22"/>
      <c r="B282" s="22"/>
      <c r="C282" s="22"/>
      <c r="D282" s="22"/>
      <c r="E282" s="22"/>
      <c r="F282" s="22"/>
      <c r="G282" s="22"/>
      <c r="H282" s="22"/>
      <c r="J282" s="22"/>
      <c r="K282" s="22"/>
      <c r="P282" s="22"/>
    </row>
    <row r="283" spans="1:16">
      <c r="A283" s="22"/>
      <c r="B283" s="22"/>
      <c r="C283" s="22"/>
      <c r="D283" s="22"/>
      <c r="E283" s="22"/>
      <c r="F283" s="22"/>
      <c r="G283" s="22"/>
      <c r="H283" s="22"/>
      <c r="J283" s="22"/>
      <c r="K283" s="22"/>
      <c r="P283" s="22"/>
    </row>
    <row r="284" spans="1:16">
      <c r="A284" s="22"/>
      <c r="B284" s="22"/>
      <c r="C284" s="22"/>
      <c r="D284" s="22"/>
      <c r="E284" s="22"/>
      <c r="F284" s="22"/>
      <c r="G284" s="22"/>
      <c r="H284" s="22"/>
      <c r="J284" s="22"/>
      <c r="K284" s="22"/>
      <c r="P284" s="22"/>
    </row>
    <row r="285" spans="1:16">
      <c r="A285" s="22"/>
      <c r="B285" s="22"/>
      <c r="C285" s="22"/>
      <c r="D285" s="22"/>
      <c r="E285" s="22"/>
      <c r="F285" s="22"/>
      <c r="G285" s="22"/>
      <c r="H285" s="22"/>
      <c r="J285" s="22"/>
      <c r="K285" s="22"/>
      <c r="P285" s="22"/>
    </row>
    <row r="286" spans="1:16">
      <c r="A286" s="22"/>
      <c r="B286" s="22"/>
      <c r="C286" s="22"/>
      <c r="D286" s="22"/>
      <c r="E286" s="22"/>
      <c r="F286" s="22"/>
      <c r="G286" s="22"/>
      <c r="H286" s="22"/>
      <c r="J286" s="22"/>
      <c r="K286" s="22"/>
      <c r="P286" s="22"/>
    </row>
    <row r="287" spans="1:16">
      <c r="A287" s="22"/>
      <c r="B287" s="22"/>
      <c r="C287" s="22"/>
      <c r="D287" s="22"/>
      <c r="E287" s="22"/>
      <c r="F287" s="22"/>
      <c r="G287" s="22"/>
      <c r="H287" s="22"/>
      <c r="J287" s="22"/>
      <c r="K287" s="22"/>
      <c r="P287" s="22"/>
    </row>
    <row r="288" spans="1:16">
      <c r="A288" s="22"/>
      <c r="B288" s="22"/>
      <c r="C288" s="22"/>
      <c r="D288" s="22"/>
      <c r="E288" s="22"/>
      <c r="F288" s="22"/>
      <c r="G288" s="22"/>
      <c r="H288" s="22"/>
      <c r="J288" s="22"/>
      <c r="K288" s="22"/>
      <c r="P288" s="22"/>
    </row>
    <row r="289" spans="1:16">
      <c r="A289" s="22"/>
      <c r="B289" s="22"/>
      <c r="C289" s="22"/>
      <c r="D289" s="22"/>
      <c r="E289" s="22"/>
      <c r="F289" s="22"/>
      <c r="G289" s="22"/>
      <c r="H289" s="22"/>
      <c r="J289" s="22"/>
      <c r="K289" s="22"/>
      <c r="P289" s="22"/>
    </row>
    <row r="290" spans="1:16">
      <c r="A290" s="22"/>
      <c r="B290" s="22"/>
      <c r="C290" s="22"/>
      <c r="D290" s="22"/>
      <c r="E290" s="22"/>
      <c r="F290" s="22"/>
      <c r="G290" s="22"/>
      <c r="H290" s="22"/>
      <c r="J290" s="22"/>
      <c r="K290" s="22"/>
      <c r="P290" s="22"/>
    </row>
    <row r="291" spans="1:16">
      <c r="A291" s="22"/>
      <c r="B291" s="22"/>
      <c r="C291" s="22"/>
      <c r="D291" s="22"/>
      <c r="E291" s="22"/>
      <c r="F291" s="22"/>
      <c r="G291" s="22"/>
      <c r="H291" s="22"/>
      <c r="J291" s="22"/>
      <c r="K291" s="22"/>
      <c r="P291" s="22"/>
    </row>
    <row r="292" spans="1:16">
      <c r="A292" s="22"/>
      <c r="B292" s="22"/>
      <c r="C292" s="22"/>
      <c r="D292" s="22"/>
      <c r="E292" s="22"/>
      <c r="F292" s="22"/>
      <c r="G292" s="22"/>
      <c r="H292" s="22"/>
      <c r="J292" s="22"/>
      <c r="K292" s="22"/>
      <c r="P292" s="22"/>
    </row>
    <row r="293" spans="1:16">
      <c r="A293" s="22"/>
      <c r="B293" s="22"/>
      <c r="C293" s="22"/>
      <c r="D293" s="22"/>
      <c r="E293" s="22"/>
      <c r="F293" s="22"/>
      <c r="G293" s="22"/>
      <c r="H293" s="22"/>
      <c r="J293" s="22"/>
      <c r="K293" s="22"/>
      <c r="P293" s="22"/>
    </row>
    <row r="294" spans="1:16">
      <c r="A294" s="22"/>
      <c r="B294" s="22"/>
      <c r="C294" s="22"/>
      <c r="D294" s="22"/>
      <c r="E294" s="22"/>
      <c r="F294" s="22"/>
      <c r="G294" s="22"/>
      <c r="H294" s="22"/>
      <c r="J294" s="22"/>
      <c r="K294" s="22"/>
      <c r="P294" s="22"/>
    </row>
    <row r="295" spans="1:16">
      <c r="A295" s="22"/>
      <c r="B295" s="22"/>
      <c r="C295" s="22"/>
      <c r="D295" s="22"/>
      <c r="E295" s="22"/>
      <c r="F295" s="22"/>
      <c r="G295" s="22"/>
      <c r="H295" s="22"/>
      <c r="J295" s="22"/>
      <c r="K295" s="22"/>
      <c r="P295" s="22"/>
    </row>
    <row r="296" spans="1:16">
      <c r="A296" s="22"/>
      <c r="B296" s="22"/>
      <c r="C296" s="22"/>
      <c r="D296" s="22"/>
      <c r="E296" s="22"/>
      <c r="F296" s="22"/>
      <c r="G296" s="22"/>
      <c r="H296" s="22"/>
      <c r="J296" s="22"/>
      <c r="K296" s="22"/>
      <c r="P296" s="22"/>
    </row>
    <row r="297" spans="1:16">
      <c r="A297" s="22"/>
      <c r="B297" s="22"/>
      <c r="C297" s="22"/>
      <c r="D297" s="22"/>
      <c r="E297" s="22"/>
      <c r="F297" s="22"/>
      <c r="G297" s="22"/>
      <c r="H297" s="22"/>
      <c r="J297" s="22"/>
      <c r="K297" s="22"/>
      <c r="P297" s="22"/>
    </row>
    <row r="298" spans="1:16">
      <c r="A298" s="22"/>
      <c r="B298" s="22"/>
      <c r="C298" s="22"/>
      <c r="D298" s="22"/>
      <c r="E298" s="22"/>
      <c r="F298" s="22"/>
      <c r="G298" s="22"/>
      <c r="H298" s="22"/>
      <c r="J298" s="22"/>
      <c r="K298" s="22"/>
      <c r="P298" s="22"/>
    </row>
  </sheetData>
  <dataValidations count="2">
    <dataValidation type="list" allowBlank="1" showInputMessage="1" showErrorMessage="1" sqref="F47:F189 J47:J189" xr:uid="{69A6126B-F024-40D8-86D3-BB39F2B01629}">
      <formula1>"DELIVERY, RECOJO, SHALOM-LIMA, PROVINCIA"</formula1>
    </dataValidation>
    <dataValidation allowBlank="1" showInputMessage="1" showErrorMessage="1" sqref="K47:K111 K113:K189" xr:uid="{15B6AAE5-81F6-43D3-A3F7-4A0F8329A019}"/>
  </dataValidations>
  <hyperlinks>
    <hyperlink ref="A1" location="RANGE!B186" display="97" xr:uid="{D8252611-A46E-4C51-BD6F-15B5629EEC0B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4513-ECDE-4C16-B8F6-5B7C6DB77DCF}">
  <sheetPr>
    <tabColor rgb="FFFFC000"/>
  </sheetPr>
  <dimension ref="A1:M576"/>
  <sheetViews>
    <sheetView topLeftCell="A566" workbookViewId="0">
      <selection activeCell="G577" sqref="G577"/>
    </sheetView>
  </sheetViews>
  <sheetFormatPr defaultRowHeight="15"/>
  <cols>
    <col min="2" max="2" width="12.140625" bestFit="1" customWidth="1"/>
    <col min="3" max="3" width="9.42578125" bestFit="1" customWidth="1"/>
    <col min="4" max="4" width="23.28515625" bestFit="1" customWidth="1"/>
    <col min="5" max="5" width="17.42578125" bestFit="1" customWidth="1"/>
    <col min="6" max="6" width="12.140625" bestFit="1" customWidth="1"/>
    <col min="7" max="7" width="16.5703125" bestFit="1" customWidth="1"/>
    <col min="8" max="8" width="9.85546875" bestFit="1" customWidth="1"/>
    <col min="9" max="9" width="11.85546875" customWidth="1"/>
    <col min="10" max="10" width="13.140625" customWidth="1"/>
    <col min="12" max="12" width="13.140625" customWidth="1"/>
    <col min="13" max="13" width="18.85546875" bestFit="1" customWidth="1"/>
    <col min="14" max="14" width="14.7109375" customWidth="1"/>
    <col min="15" max="15" width="12.7109375" customWidth="1"/>
    <col min="16" max="16" width="11.5703125" bestFit="1" customWidth="1"/>
    <col min="17" max="17" width="14.28515625" customWidth="1"/>
    <col min="18" max="18" width="8.7109375" customWidth="1"/>
    <col min="20" max="20" width="14.7109375" customWidth="1"/>
  </cols>
  <sheetData>
    <row r="1" spans="1:10">
      <c r="B1" s="44" t="s">
        <v>489</v>
      </c>
      <c r="C1" s="44" t="s">
        <v>0</v>
      </c>
      <c r="D1" s="44" t="s">
        <v>6</v>
      </c>
      <c r="E1" s="44" t="s">
        <v>10</v>
      </c>
      <c r="F1" s="44" t="s">
        <v>14</v>
      </c>
      <c r="G1" s="44" t="s">
        <v>16</v>
      </c>
      <c r="H1" s="44" t="s">
        <v>19</v>
      </c>
      <c r="I1" s="44" t="s">
        <v>21</v>
      </c>
      <c r="J1" s="45" t="s">
        <v>22</v>
      </c>
    </row>
    <row r="2" spans="1:10">
      <c r="A2" s="33"/>
      <c r="B2" s="35">
        <v>1</v>
      </c>
      <c r="C2" s="2" t="s">
        <v>1</v>
      </c>
      <c r="D2" s="35" t="s">
        <v>63</v>
      </c>
      <c r="E2" s="35" t="s">
        <v>490</v>
      </c>
      <c r="F2" s="35" t="s">
        <v>72</v>
      </c>
      <c r="G2" s="35" t="s">
        <v>81</v>
      </c>
      <c r="H2" s="35" t="s">
        <v>83</v>
      </c>
      <c r="I2" s="2"/>
      <c r="J2" s="35">
        <v>1</v>
      </c>
    </row>
    <row r="3" spans="1:10">
      <c r="A3" s="33"/>
      <c r="B3" s="35">
        <v>1</v>
      </c>
      <c r="C3" s="2" t="s">
        <v>1</v>
      </c>
      <c r="D3" s="35" t="s">
        <v>63</v>
      </c>
      <c r="E3" s="35" t="s">
        <v>490</v>
      </c>
      <c r="F3" s="35" t="s">
        <v>15</v>
      </c>
      <c r="G3" s="35" t="s">
        <v>103</v>
      </c>
      <c r="H3" s="35" t="s">
        <v>89</v>
      </c>
      <c r="I3" s="2"/>
      <c r="J3" s="35">
        <v>1</v>
      </c>
    </row>
    <row r="4" spans="1:10">
      <c r="A4" s="33"/>
      <c r="B4" s="35">
        <v>1</v>
      </c>
      <c r="C4" s="2" t="s">
        <v>1</v>
      </c>
      <c r="D4" s="35" t="s">
        <v>63</v>
      </c>
      <c r="E4" s="35" t="s">
        <v>490</v>
      </c>
      <c r="F4" s="35" t="s">
        <v>15</v>
      </c>
      <c r="G4" s="35" t="s">
        <v>103</v>
      </c>
      <c r="H4" s="35" t="s">
        <v>90</v>
      </c>
      <c r="I4" s="2"/>
      <c r="J4" s="35">
        <v>12</v>
      </c>
    </row>
    <row r="5" spans="1:10">
      <c r="A5" s="33"/>
      <c r="B5" s="35">
        <v>1</v>
      </c>
      <c r="C5" s="2" t="s">
        <v>1</v>
      </c>
      <c r="D5" s="35" t="s">
        <v>63</v>
      </c>
      <c r="E5" s="35" t="s">
        <v>490</v>
      </c>
      <c r="F5" s="35" t="s">
        <v>15</v>
      </c>
      <c r="G5" s="35" t="s">
        <v>103</v>
      </c>
      <c r="H5" s="35" t="s">
        <v>91</v>
      </c>
      <c r="I5" s="2"/>
      <c r="J5" s="35">
        <v>1</v>
      </c>
    </row>
    <row r="6" spans="1:10">
      <c r="A6" s="33"/>
      <c r="B6" s="35">
        <v>1</v>
      </c>
      <c r="C6" s="2" t="s">
        <v>1</v>
      </c>
      <c r="D6" s="35" t="s">
        <v>63</v>
      </c>
      <c r="E6" s="35" t="s">
        <v>490</v>
      </c>
      <c r="F6" s="35" t="s">
        <v>15</v>
      </c>
      <c r="G6" s="35" t="s">
        <v>102</v>
      </c>
      <c r="H6" s="35" t="s">
        <v>91</v>
      </c>
      <c r="I6" s="2"/>
      <c r="J6" s="35">
        <v>1</v>
      </c>
    </row>
    <row r="7" spans="1:10">
      <c r="A7" s="33"/>
      <c r="B7" s="35">
        <v>2</v>
      </c>
      <c r="C7" s="2" t="s">
        <v>1</v>
      </c>
      <c r="D7" s="35" t="s">
        <v>63</v>
      </c>
      <c r="E7" s="35" t="s">
        <v>490</v>
      </c>
      <c r="F7" s="35" t="s">
        <v>70</v>
      </c>
      <c r="G7" s="35" t="s">
        <v>103</v>
      </c>
      <c r="H7" s="35" t="s">
        <v>90</v>
      </c>
      <c r="I7" s="2"/>
      <c r="J7" s="35">
        <v>2</v>
      </c>
    </row>
    <row r="8" spans="1:10">
      <c r="A8" s="33"/>
      <c r="B8" s="35">
        <v>2</v>
      </c>
      <c r="C8" s="2" t="s">
        <v>1</v>
      </c>
      <c r="D8" s="35" t="s">
        <v>63</v>
      </c>
      <c r="E8" s="35" t="s">
        <v>490</v>
      </c>
      <c r="F8" s="35" t="s">
        <v>70</v>
      </c>
      <c r="G8" s="35" t="s">
        <v>103</v>
      </c>
      <c r="H8" s="35" t="s">
        <v>91</v>
      </c>
      <c r="I8" s="2"/>
      <c r="J8" s="35">
        <v>2</v>
      </c>
    </row>
    <row r="9" spans="1:10">
      <c r="A9" s="33"/>
      <c r="B9" s="35">
        <v>2</v>
      </c>
      <c r="C9" s="2" t="s">
        <v>1</v>
      </c>
      <c r="D9" s="35" t="s">
        <v>63</v>
      </c>
      <c r="E9" s="35" t="s">
        <v>490</v>
      </c>
      <c r="F9" s="35" t="s">
        <v>75</v>
      </c>
      <c r="G9" s="35" t="s">
        <v>103</v>
      </c>
      <c r="H9" s="35" t="s">
        <v>89</v>
      </c>
      <c r="I9" s="2"/>
      <c r="J9" s="35">
        <v>1</v>
      </c>
    </row>
    <row r="10" spans="1:10">
      <c r="A10" s="33"/>
      <c r="B10" s="35">
        <v>2</v>
      </c>
      <c r="C10" s="2" t="s">
        <v>1</v>
      </c>
      <c r="D10" s="35" t="s">
        <v>63</v>
      </c>
      <c r="E10" s="35" t="s">
        <v>490</v>
      </c>
      <c r="F10" s="35" t="s">
        <v>71</v>
      </c>
      <c r="G10" s="35" t="s">
        <v>103</v>
      </c>
      <c r="H10" s="35" t="s">
        <v>90</v>
      </c>
      <c r="I10" s="2"/>
      <c r="J10" s="35">
        <v>1</v>
      </c>
    </row>
    <row r="11" spans="1:10">
      <c r="A11" s="33"/>
      <c r="B11" s="35">
        <v>2</v>
      </c>
      <c r="C11" s="2" t="s">
        <v>1</v>
      </c>
      <c r="D11" s="35" t="s">
        <v>63</v>
      </c>
      <c r="E11" s="35" t="s">
        <v>490</v>
      </c>
      <c r="F11" s="35" t="s">
        <v>72</v>
      </c>
      <c r="G11" s="35" t="s">
        <v>103</v>
      </c>
      <c r="H11" s="35" t="s">
        <v>90</v>
      </c>
      <c r="I11" s="2"/>
      <c r="J11" s="35">
        <v>1</v>
      </c>
    </row>
    <row r="12" spans="1:10">
      <c r="A12" s="33"/>
      <c r="B12" s="35">
        <v>3</v>
      </c>
      <c r="C12" s="2" t="s">
        <v>1</v>
      </c>
      <c r="D12" s="35" t="s">
        <v>53</v>
      </c>
      <c r="E12" s="35" t="s">
        <v>490</v>
      </c>
      <c r="F12" s="35" t="s">
        <v>15</v>
      </c>
      <c r="G12" s="35" t="s">
        <v>103</v>
      </c>
      <c r="H12" s="35" t="s">
        <v>89</v>
      </c>
      <c r="I12" s="2"/>
      <c r="J12" s="35">
        <v>2</v>
      </c>
    </row>
    <row r="13" spans="1:10">
      <c r="A13" s="33"/>
      <c r="B13" s="35">
        <v>3</v>
      </c>
      <c r="C13" s="2" t="s">
        <v>1</v>
      </c>
      <c r="D13" s="35" t="s">
        <v>53</v>
      </c>
      <c r="E13" s="35" t="s">
        <v>490</v>
      </c>
      <c r="F13" s="35" t="s">
        <v>15</v>
      </c>
      <c r="G13" s="35" t="s">
        <v>103</v>
      </c>
      <c r="H13" s="35" t="s">
        <v>90</v>
      </c>
      <c r="I13" s="2"/>
      <c r="J13" s="35">
        <v>1</v>
      </c>
    </row>
    <row r="14" spans="1:10">
      <c r="A14" s="33"/>
      <c r="B14" s="35">
        <v>3</v>
      </c>
      <c r="C14" s="2" t="s">
        <v>1</v>
      </c>
      <c r="D14" s="35" t="s">
        <v>53</v>
      </c>
      <c r="E14" s="35" t="s">
        <v>490</v>
      </c>
      <c r="F14" s="35" t="s">
        <v>15</v>
      </c>
      <c r="G14" s="35" t="s">
        <v>102</v>
      </c>
      <c r="H14" s="35" t="s">
        <v>90</v>
      </c>
      <c r="I14" s="2"/>
      <c r="J14" s="35">
        <v>3</v>
      </c>
    </row>
    <row r="15" spans="1:10">
      <c r="A15" s="33"/>
      <c r="B15" s="35">
        <v>3</v>
      </c>
      <c r="C15" s="2" t="s">
        <v>1</v>
      </c>
      <c r="D15" s="35" t="s">
        <v>53</v>
      </c>
      <c r="E15" s="35" t="s">
        <v>490</v>
      </c>
      <c r="F15" s="35" t="s">
        <v>15</v>
      </c>
      <c r="G15" s="35" t="s">
        <v>102</v>
      </c>
      <c r="H15" s="35" t="s">
        <v>91</v>
      </c>
      <c r="I15" s="2"/>
      <c r="J15" s="35">
        <v>3</v>
      </c>
    </row>
    <row r="16" spans="1:10">
      <c r="A16" s="33"/>
      <c r="B16" s="35">
        <v>4</v>
      </c>
      <c r="C16" s="2" t="s">
        <v>1</v>
      </c>
      <c r="D16" s="35" t="s">
        <v>63</v>
      </c>
      <c r="E16" s="35" t="s">
        <v>490</v>
      </c>
      <c r="F16" s="35" t="s">
        <v>75</v>
      </c>
      <c r="G16" s="35" t="s">
        <v>102</v>
      </c>
      <c r="H16" s="35" t="s">
        <v>89</v>
      </c>
      <c r="I16" s="2"/>
      <c r="J16" s="35">
        <v>2</v>
      </c>
    </row>
    <row r="17" spans="1:10">
      <c r="A17" s="33"/>
      <c r="B17" s="35">
        <v>4</v>
      </c>
      <c r="C17" s="2" t="s">
        <v>1</v>
      </c>
      <c r="D17" s="35" t="s">
        <v>63</v>
      </c>
      <c r="E17" s="35" t="s">
        <v>490</v>
      </c>
      <c r="F17" s="35" t="s">
        <v>75</v>
      </c>
      <c r="G17" s="35" t="s">
        <v>102</v>
      </c>
      <c r="H17" s="35" t="s">
        <v>90</v>
      </c>
      <c r="I17" s="2"/>
      <c r="J17" s="35">
        <v>3</v>
      </c>
    </row>
    <row r="18" spans="1:10">
      <c r="A18" s="33"/>
      <c r="B18" s="35">
        <v>4</v>
      </c>
      <c r="C18" s="2" t="s">
        <v>1</v>
      </c>
      <c r="D18" s="35" t="s">
        <v>63</v>
      </c>
      <c r="E18" s="35" t="s">
        <v>490</v>
      </c>
      <c r="F18" s="35" t="s">
        <v>75</v>
      </c>
      <c r="G18" s="35" t="s">
        <v>102</v>
      </c>
      <c r="H18" s="35" t="s">
        <v>91</v>
      </c>
      <c r="I18" s="2"/>
      <c r="J18" s="35">
        <v>7</v>
      </c>
    </row>
    <row r="19" spans="1:10">
      <c r="A19" s="33"/>
      <c r="B19" s="35">
        <v>4</v>
      </c>
      <c r="C19" s="2" t="s">
        <v>1</v>
      </c>
      <c r="D19" s="35" t="s">
        <v>63</v>
      </c>
      <c r="E19" s="35" t="s">
        <v>490</v>
      </c>
      <c r="F19" s="35" t="s">
        <v>75</v>
      </c>
      <c r="G19" s="35" t="s">
        <v>102</v>
      </c>
      <c r="H19" s="35" t="s">
        <v>92</v>
      </c>
      <c r="I19" s="2"/>
      <c r="J19" s="35">
        <v>2</v>
      </c>
    </row>
    <row r="20" spans="1:10">
      <c r="A20" s="33"/>
      <c r="B20" s="35">
        <v>5</v>
      </c>
      <c r="C20" s="2" t="s">
        <v>1</v>
      </c>
      <c r="D20" s="35" t="s">
        <v>63</v>
      </c>
      <c r="E20" s="35" t="s">
        <v>490</v>
      </c>
      <c r="F20" s="35" t="s">
        <v>75</v>
      </c>
      <c r="G20" s="35" t="s">
        <v>103</v>
      </c>
      <c r="H20" s="35" t="s">
        <v>90</v>
      </c>
      <c r="I20" s="2"/>
      <c r="J20" s="35">
        <v>2</v>
      </c>
    </row>
    <row r="21" spans="1:10">
      <c r="A21" s="33"/>
      <c r="B21" s="35">
        <v>5</v>
      </c>
      <c r="C21" s="2" t="s">
        <v>1</v>
      </c>
      <c r="D21" s="35" t="s">
        <v>63</v>
      </c>
      <c r="E21" s="35" t="s">
        <v>490</v>
      </c>
      <c r="F21" s="35" t="s">
        <v>75</v>
      </c>
      <c r="G21" s="35" t="s">
        <v>103</v>
      </c>
      <c r="H21" s="35" t="s">
        <v>91</v>
      </c>
      <c r="I21" s="2"/>
      <c r="J21" s="35">
        <v>1</v>
      </c>
    </row>
    <row r="22" spans="1:10">
      <c r="A22" s="33"/>
      <c r="B22" s="35">
        <v>5</v>
      </c>
      <c r="C22" s="2" t="s">
        <v>1</v>
      </c>
      <c r="D22" s="35" t="s">
        <v>63</v>
      </c>
      <c r="E22" s="35" t="s">
        <v>490</v>
      </c>
      <c r="F22" s="35" t="s">
        <v>75</v>
      </c>
      <c r="G22" s="35" t="s">
        <v>102</v>
      </c>
      <c r="H22" s="35" t="s">
        <v>91</v>
      </c>
      <c r="I22" s="2"/>
      <c r="J22" s="35">
        <v>1</v>
      </c>
    </row>
    <row r="23" spans="1:10">
      <c r="A23" s="33"/>
      <c r="B23" s="35">
        <v>5</v>
      </c>
      <c r="C23" s="2" t="s">
        <v>1</v>
      </c>
      <c r="D23" s="35" t="s">
        <v>63</v>
      </c>
      <c r="E23" s="35" t="s">
        <v>490</v>
      </c>
      <c r="F23" s="35" t="s">
        <v>75</v>
      </c>
      <c r="G23" s="35" t="s">
        <v>102</v>
      </c>
      <c r="H23" s="35" t="s">
        <v>92</v>
      </c>
      <c r="I23" s="2"/>
      <c r="J23" s="35">
        <v>1</v>
      </c>
    </row>
    <row r="24" spans="1:10">
      <c r="A24" s="33"/>
      <c r="B24" s="35">
        <v>6</v>
      </c>
      <c r="C24" s="2" t="s">
        <v>1</v>
      </c>
      <c r="D24" s="35" t="s">
        <v>63</v>
      </c>
      <c r="E24" s="35" t="s">
        <v>490</v>
      </c>
      <c r="F24" s="35" t="s">
        <v>15</v>
      </c>
      <c r="G24" s="35" t="s">
        <v>103</v>
      </c>
      <c r="H24" s="35" t="s">
        <v>89</v>
      </c>
      <c r="I24" s="2"/>
      <c r="J24" s="35">
        <v>4</v>
      </c>
    </row>
    <row r="25" spans="1:10">
      <c r="A25" s="33"/>
      <c r="B25" s="35">
        <v>6</v>
      </c>
      <c r="C25" s="2" t="s">
        <v>1</v>
      </c>
      <c r="D25" s="35" t="s">
        <v>63</v>
      </c>
      <c r="E25" s="35" t="s">
        <v>490</v>
      </c>
      <c r="F25" s="35" t="s">
        <v>15</v>
      </c>
      <c r="G25" s="35" t="s">
        <v>103</v>
      </c>
      <c r="H25" s="35" t="s">
        <v>90</v>
      </c>
      <c r="I25" s="2"/>
      <c r="J25" s="35">
        <v>6</v>
      </c>
    </row>
    <row r="26" spans="1:10">
      <c r="A26" s="33"/>
      <c r="B26" s="35">
        <v>6</v>
      </c>
      <c r="C26" s="2" t="s">
        <v>1</v>
      </c>
      <c r="D26" s="35" t="s">
        <v>63</v>
      </c>
      <c r="E26" s="35" t="s">
        <v>490</v>
      </c>
      <c r="F26" s="35" t="s">
        <v>15</v>
      </c>
      <c r="G26" s="35" t="s">
        <v>103</v>
      </c>
      <c r="H26" s="35" t="s">
        <v>91</v>
      </c>
      <c r="I26" s="2"/>
      <c r="J26" s="35">
        <v>2</v>
      </c>
    </row>
    <row r="27" spans="1:10">
      <c r="A27" s="33"/>
      <c r="B27" s="35">
        <v>7</v>
      </c>
      <c r="C27" s="2" t="s">
        <v>1</v>
      </c>
      <c r="D27" s="35" t="s">
        <v>63</v>
      </c>
      <c r="E27" s="35" t="s">
        <v>491</v>
      </c>
      <c r="F27" s="35" t="s">
        <v>15</v>
      </c>
      <c r="G27" s="35" t="s">
        <v>103</v>
      </c>
      <c r="H27" s="35" t="s">
        <v>90</v>
      </c>
      <c r="I27" s="2"/>
      <c r="J27" s="35">
        <v>3</v>
      </c>
    </row>
    <row r="28" spans="1:10">
      <c r="A28" s="33"/>
      <c r="B28" s="35">
        <v>8</v>
      </c>
      <c r="C28" s="2" t="s">
        <v>1</v>
      </c>
      <c r="D28" s="35" t="s">
        <v>492</v>
      </c>
      <c r="E28" s="35" t="s">
        <v>490</v>
      </c>
      <c r="F28" s="35" t="s">
        <v>71</v>
      </c>
      <c r="G28" s="35" t="s">
        <v>103</v>
      </c>
      <c r="H28" s="35" t="s">
        <v>89</v>
      </c>
      <c r="I28" s="2"/>
      <c r="J28" s="35">
        <v>2</v>
      </c>
    </row>
    <row r="29" spans="1:10">
      <c r="A29" s="33"/>
      <c r="B29" s="35">
        <v>8</v>
      </c>
      <c r="C29" s="2" t="s">
        <v>1</v>
      </c>
      <c r="D29" s="35" t="s">
        <v>492</v>
      </c>
      <c r="E29" s="35" t="s">
        <v>490</v>
      </c>
      <c r="F29" s="35" t="s">
        <v>71</v>
      </c>
      <c r="G29" s="35" t="s">
        <v>103</v>
      </c>
      <c r="H29" s="35" t="s">
        <v>90</v>
      </c>
      <c r="I29" s="2"/>
      <c r="J29" s="35">
        <v>5</v>
      </c>
    </row>
    <row r="30" spans="1:10">
      <c r="A30" s="33"/>
      <c r="B30" s="35">
        <v>9</v>
      </c>
      <c r="C30" s="2" t="s">
        <v>1</v>
      </c>
      <c r="D30" s="35" t="s">
        <v>492</v>
      </c>
      <c r="E30" s="35" t="s">
        <v>491</v>
      </c>
      <c r="F30" s="35" t="s">
        <v>74</v>
      </c>
      <c r="G30" s="35" t="s">
        <v>103</v>
      </c>
      <c r="H30" s="35" t="s">
        <v>89</v>
      </c>
      <c r="I30" s="2"/>
      <c r="J30" s="35">
        <v>4</v>
      </c>
    </row>
    <row r="31" spans="1:10">
      <c r="A31" s="33"/>
      <c r="B31" s="35">
        <v>9</v>
      </c>
      <c r="C31" s="2" t="s">
        <v>1</v>
      </c>
      <c r="D31" s="35" t="s">
        <v>492</v>
      </c>
      <c r="E31" s="35" t="s">
        <v>491</v>
      </c>
      <c r="F31" s="35" t="s">
        <v>74</v>
      </c>
      <c r="G31" s="35" t="s">
        <v>103</v>
      </c>
      <c r="H31" s="35" t="s">
        <v>90</v>
      </c>
      <c r="I31" s="2"/>
      <c r="J31" s="35">
        <v>10</v>
      </c>
    </row>
    <row r="32" spans="1:10">
      <c r="A32" s="33"/>
      <c r="B32" s="35">
        <v>9</v>
      </c>
      <c r="C32" s="2" t="s">
        <v>1</v>
      </c>
      <c r="D32" s="35" t="s">
        <v>492</v>
      </c>
      <c r="E32" s="35" t="s">
        <v>491</v>
      </c>
      <c r="F32" s="35" t="s">
        <v>74</v>
      </c>
      <c r="G32" s="35" t="s">
        <v>103</v>
      </c>
      <c r="H32" s="35" t="s">
        <v>91</v>
      </c>
      <c r="I32" s="2"/>
      <c r="J32" s="35">
        <v>2</v>
      </c>
    </row>
    <row r="33" spans="1:10">
      <c r="A33" s="33"/>
      <c r="B33" s="35">
        <v>10</v>
      </c>
      <c r="C33" s="2" t="s">
        <v>1</v>
      </c>
      <c r="D33" s="35" t="s">
        <v>63</v>
      </c>
      <c r="E33" s="35" t="s">
        <v>490</v>
      </c>
      <c r="F33" s="35" t="s">
        <v>15</v>
      </c>
      <c r="G33" s="35" t="s">
        <v>103</v>
      </c>
      <c r="H33" s="35" t="s">
        <v>89</v>
      </c>
      <c r="I33" s="2"/>
      <c r="J33" s="35">
        <v>3</v>
      </c>
    </row>
    <row r="34" spans="1:10">
      <c r="A34" s="33"/>
      <c r="B34" s="35">
        <v>10</v>
      </c>
      <c r="C34" s="2" t="s">
        <v>1</v>
      </c>
      <c r="D34" s="35" t="s">
        <v>63</v>
      </c>
      <c r="E34" s="35" t="s">
        <v>490</v>
      </c>
      <c r="F34" s="35" t="s">
        <v>15</v>
      </c>
      <c r="G34" s="35" t="s">
        <v>102</v>
      </c>
      <c r="H34" s="35" t="s">
        <v>89</v>
      </c>
      <c r="I34" s="2"/>
      <c r="J34" s="35">
        <v>3</v>
      </c>
    </row>
    <row r="35" spans="1:10">
      <c r="A35" s="33"/>
      <c r="B35" s="35">
        <v>10</v>
      </c>
      <c r="C35" s="2" t="s">
        <v>1</v>
      </c>
      <c r="D35" s="35" t="s">
        <v>63</v>
      </c>
      <c r="E35" s="35" t="s">
        <v>490</v>
      </c>
      <c r="F35" s="35" t="s">
        <v>15</v>
      </c>
      <c r="G35" s="35" t="s">
        <v>103</v>
      </c>
      <c r="H35" s="35" t="s">
        <v>90</v>
      </c>
      <c r="I35" s="2"/>
      <c r="J35" s="35">
        <v>3</v>
      </c>
    </row>
    <row r="36" spans="1:10">
      <c r="A36" s="33"/>
      <c r="B36" s="35">
        <v>10</v>
      </c>
      <c r="C36" s="2" t="s">
        <v>1</v>
      </c>
      <c r="D36" s="35" t="s">
        <v>63</v>
      </c>
      <c r="E36" s="35" t="s">
        <v>490</v>
      </c>
      <c r="F36" s="35" t="s">
        <v>15</v>
      </c>
      <c r="G36" s="35" t="s">
        <v>102</v>
      </c>
      <c r="H36" s="35" t="s">
        <v>90</v>
      </c>
      <c r="I36" s="2"/>
      <c r="J36" s="35">
        <v>4</v>
      </c>
    </row>
    <row r="37" spans="1:10">
      <c r="A37" s="33"/>
      <c r="B37" s="35">
        <v>10</v>
      </c>
      <c r="C37" s="2" t="s">
        <v>1</v>
      </c>
      <c r="D37" s="35" t="s">
        <v>63</v>
      </c>
      <c r="E37" s="35" t="s">
        <v>490</v>
      </c>
      <c r="F37" s="35" t="s">
        <v>15</v>
      </c>
      <c r="G37" s="35" t="s">
        <v>103</v>
      </c>
      <c r="H37" s="35" t="s">
        <v>91</v>
      </c>
      <c r="I37" s="2"/>
      <c r="J37" s="35">
        <v>3</v>
      </c>
    </row>
    <row r="38" spans="1:10">
      <c r="A38" s="33"/>
      <c r="B38" s="35">
        <v>10</v>
      </c>
      <c r="C38" s="2" t="s">
        <v>1</v>
      </c>
      <c r="D38" s="35" t="s">
        <v>63</v>
      </c>
      <c r="E38" s="35" t="s">
        <v>490</v>
      </c>
      <c r="F38" s="35" t="s">
        <v>15</v>
      </c>
      <c r="G38" s="35" t="s">
        <v>102</v>
      </c>
      <c r="H38" s="35" t="s">
        <v>91</v>
      </c>
      <c r="I38" s="2"/>
      <c r="J38" s="35">
        <v>3</v>
      </c>
    </row>
    <row r="39" spans="1:10">
      <c r="A39" s="33"/>
      <c r="B39" s="35">
        <v>11</v>
      </c>
      <c r="C39" s="2" t="s">
        <v>1</v>
      </c>
      <c r="D39" s="35" t="s">
        <v>63</v>
      </c>
      <c r="E39" s="35" t="s">
        <v>491</v>
      </c>
      <c r="F39" s="35" t="s">
        <v>74</v>
      </c>
      <c r="G39" s="35" t="s">
        <v>103</v>
      </c>
      <c r="H39" s="35" t="s">
        <v>90</v>
      </c>
      <c r="I39" s="2"/>
      <c r="J39" s="35">
        <v>2</v>
      </c>
    </row>
    <row r="40" spans="1:10">
      <c r="A40" s="33"/>
      <c r="B40" s="35">
        <v>11</v>
      </c>
      <c r="C40" s="2" t="s">
        <v>1</v>
      </c>
      <c r="D40" s="35" t="s">
        <v>63</v>
      </c>
      <c r="E40" s="35" t="s">
        <v>491</v>
      </c>
      <c r="F40" s="35" t="s">
        <v>72</v>
      </c>
      <c r="G40" s="35" t="s">
        <v>103</v>
      </c>
      <c r="H40" s="35" t="s">
        <v>90</v>
      </c>
      <c r="I40" s="2"/>
      <c r="J40" s="35">
        <v>1</v>
      </c>
    </row>
    <row r="41" spans="1:10">
      <c r="A41" s="33"/>
      <c r="B41" s="35">
        <v>11</v>
      </c>
      <c r="C41" s="2" t="s">
        <v>1</v>
      </c>
      <c r="D41" s="35" t="s">
        <v>63</v>
      </c>
      <c r="E41" s="35" t="s">
        <v>491</v>
      </c>
      <c r="F41" s="35" t="s">
        <v>74</v>
      </c>
      <c r="G41" s="35" t="s">
        <v>103</v>
      </c>
      <c r="H41" s="35" t="s">
        <v>91</v>
      </c>
      <c r="I41" s="2"/>
      <c r="J41" s="35">
        <v>1</v>
      </c>
    </row>
    <row r="42" spans="1:10">
      <c r="A42" s="33"/>
      <c r="B42" s="35">
        <v>11</v>
      </c>
      <c r="C42" s="2" t="s">
        <v>1</v>
      </c>
      <c r="D42" s="35" t="s">
        <v>63</v>
      </c>
      <c r="E42" s="35" t="s">
        <v>491</v>
      </c>
      <c r="F42" s="35" t="s">
        <v>72</v>
      </c>
      <c r="G42" s="35" t="s">
        <v>103</v>
      </c>
      <c r="H42" s="35" t="s">
        <v>91</v>
      </c>
      <c r="I42" s="2"/>
      <c r="J42" s="35">
        <v>1</v>
      </c>
    </row>
    <row r="43" spans="1:10">
      <c r="A43" s="33"/>
      <c r="B43" s="35">
        <v>12</v>
      </c>
      <c r="C43" s="2" t="s">
        <v>1</v>
      </c>
      <c r="D43" s="35" t="s">
        <v>63</v>
      </c>
      <c r="E43" s="35" t="s">
        <v>491</v>
      </c>
      <c r="F43" s="35" t="s">
        <v>15</v>
      </c>
      <c r="G43" s="35" t="s">
        <v>103</v>
      </c>
      <c r="H43" s="35" t="s">
        <v>89</v>
      </c>
      <c r="I43" s="2"/>
      <c r="J43" s="35">
        <v>2</v>
      </c>
    </row>
    <row r="44" spans="1:10">
      <c r="A44" s="33"/>
      <c r="B44" s="35">
        <v>12</v>
      </c>
      <c r="C44" s="2" t="s">
        <v>1</v>
      </c>
      <c r="D44" s="35" t="s">
        <v>63</v>
      </c>
      <c r="E44" s="35" t="s">
        <v>491</v>
      </c>
      <c r="F44" s="35" t="s">
        <v>15</v>
      </c>
      <c r="G44" s="35" t="s">
        <v>103</v>
      </c>
      <c r="H44" s="35" t="s">
        <v>90</v>
      </c>
      <c r="I44" s="2"/>
      <c r="J44" s="35">
        <v>1</v>
      </c>
    </row>
    <row r="45" spans="1:10">
      <c r="A45" s="33"/>
      <c r="B45" s="35">
        <v>12</v>
      </c>
      <c r="C45" s="2" t="s">
        <v>1</v>
      </c>
      <c r="D45" s="35" t="s">
        <v>63</v>
      </c>
      <c r="E45" s="35" t="s">
        <v>491</v>
      </c>
      <c r="F45" s="35" t="s">
        <v>15</v>
      </c>
      <c r="G45" s="35" t="s">
        <v>103</v>
      </c>
      <c r="H45" s="35" t="s">
        <v>91</v>
      </c>
      <c r="I45" s="2"/>
      <c r="J45" s="35">
        <v>3</v>
      </c>
    </row>
    <row r="46" spans="1:10">
      <c r="A46" s="33"/>
      <c r="B46" s="35">
        <v>13</v>
      </c>
      <c r="C46" s="2" t="s">
        <v>1</v>
      </c>
      <c r="D46" s="35" t="s">
        <v>63</v>
      </c>
      <c r="E46" s="35" t="s">
        <v>490</v>
      </c>
      <c r="F46" s="35" t="s">
        <v>73</v>
      </c>
      <c r="G46" s="35" t="s">
        <v>81</v>
      </c>
      <c r="H46" s="35" t="s">
        <v>83</v>
      </c>
      <c r="I46" s="2"/>
      <c r="J46" s="35">
        <v>5</v>
      </c>
    </row>
    <row r="47" spans="1:10">
      <c r="A47" s="33"/>
      <c r="B47" s="35">
        <v>13</v>
      </c>
      <c r="C47" s="2" t="s">
        <v>1</v>
      </c>
      <c r="D47" s="35" t="s">
        <v>63</v>
      </c>
      <c r="E47" s="35" t="s">
        <v>490</v>
      </c>
      <c r="F47" s="35" t="s">
        <v>73</v>
      </c>
      <c r="G47" s="35" t="s">
        <v>81</v>
      </c>
      <c r="H47" s="35" t="s">
        <v>84</v>
      </c>
      <c r="I47" s="2"/>
      <c r="J47" s="35">
        <v>5</v>
      </c>
    </row>
    <row r="48" spans="1:10">
      <c r="A48" s="33"/>
      <c r="B48" s="35">
        <v>13</v>
      </c>
      <c r="C48" s="2" t="s">
        <v>1</v>
      </c>
      <c r="D48" s="35" t="s">
        <v>63</v>
      </c>
      <c r="E48" s="35" t="s">
        <v>491</v>
      </c>
      <c r="F48" s="35" t="s">
        <v>73</v>
      </c>
      <c r="G48" s="35" t="s">
        <v>81</v>
      </c>
      <c r="H48" s="35" t="s">
        <v>84</v>
      </c>
      <c r="I48" s="2"/>
      <c r="J48" s="35">
        <v>1</v>
      </c>
    </row>
    <row r="49" spans="1:10">
      <c r="A49" s="34"/>
      <c r="B49" s="35">
        <v>14</v>
      </c>
      <c r="C49" s="2" t="s">
        <v>1</v>
      </c>
      <c r="D49" s="35" t="s">
        <v>493</v>
      </c>
      <c r="E49" s="35" t="s">
        <v>491</v>
      </c>
      <c r="F49" s="35" t="s">
        <v>15</v>
      </c>
      <c r="G49" s="35" t="s">
        <v>81</v>
      </c>
      <c r="H49" s="35" t="s">
        <v>82</v>
      </c>
      <c r="I49" s="2"/>
      <c r="J49" s="35">
        <v>1</v>
      </c>
    </row>
    <row r="50" spans="1:10">
      <c r="A50" s="33"/>
      <c r="B50" s="35">
        <v>14</v>
      </c>
      <c r="C50" s="2" t="s">
        <v>1</v>
      </c>
      <c r="D50" s="35" t="s">
        <v>53</v>
      </c>
      <c r="E50" s="35" t="s">
        <v>491</v>
      </c>
      <c r="F50" s="35" t="s">
        <v>15</v>
      </c>
      <c r="G50" s="35" t="s">
        <v>102</v>
      </c>
      <c r="H50" s="35" t="s">
        <v>87</v>
      </c>
      <c r="I50" s="2"/>
      <c r="J50" s="35">
        <v>1</v>
      </c>
    </row>
    <row r="51" spans="1:10">
      <c r="A51" s="33"/>
      <c r="B51" s="35">
        <v>14</v>
      </c>
      <c r="C51" s="2" t="s">
        <v>1</v>
      </c>
      <c r="D51" s="35" t="s">
        <v>53</v>
      </c>
      <c r="E51" s="35" t="s">
        <v>491</v>
      </c>
      <c r="F51" s="35" t="s">
        <v>15</v>
      </c>
      <c r="G51" s="35" t="s">
        <v>103</v>
      </c>
      <c r="H51" s="35" t="s">
        <v>89</v>
      </c>
      <c r="I51" s="2"/>
      <c r="J51" s="35">
        <v>2</v>
      </c>
    </row>
    <row r="52" spans="1:10">
      <c r="A52" s="33"/>
      <c r="B52" s="35">
        <v>14</v>
      </c>
      <c r="C52" s="2" t="s">
        <v>1</v>
      </c>
      <c r="D52" s="35" t="s">
        <v>53</v>
      </c>
      <c r="E52" s="35" t="s">
        <v>491</v>
      </c>
      <c r="F52" s="35" t="s">
        <v>15</v>
      </c>
      <c r="G52" s="35" t="s">
        <v>103</v>
      </c>
      <c r="H52" s="35" t="s">
        <v>90</v>
      </c>
      <c r="I52" s="2"/>
      <c r="J52" s="35">
        <v>1</v>
      </c>
    </row>
    <row r="53" spans="1:10">
      <c r="A53" s="33"/>
      <c r="B53" s="35">
        <v>14</v>
      </c>
      <c r="C53" s="2" t="s">
        <v>1</v>
      </c>
      <c r="D53" s="35" t="s">
        <v>53</v>
      </c>
      <c r="E53" s="35" t="s">
        <v>491</v>
      </c>
      <c r="F53" s="35" t="s">
        <v>15</v>
      </c>
      <c r="G53" s="35" t="s">
        <v>102</v>
      </c>
      <c r="H53" s="35" t="s">
        <v>91</v>
      </c>
      <c r="I53" s="2"/>
      <c r="J53" s="35">
        <v>1</v>
      </c>
    </row>
    <row r="54" spans="1:10">
      <c r="A54" s="33"/>
      <c r="B54" s="35">
        <v>14</v>
      </c>
      <c r="C54" s="2" t="s">
        <v>1</v>
      </c>
      <c r="D54" s="35" t="s">
        <v>53</v>
      </c>
      <c r="E54" s="35" t="s">
        <v>491</v>
      </c>
      <c r="F54" s="35" t="s">
        <v>15</v>
      </c>
      <c r="G54" s="35" t="s">
        <v>102</v>
      </c>
      <c r="H54" s="35" t="s">
        <v>92</v>
      </c>
      <c r="I54" s="2"/>
      <c r="J54" s="35">
        <v>1</v>
      </c>
    </row>
    <row r="55" spans="1:10">
      <c r="A55" s="34"/>
      <c r="B55" s="35">
        <v>15</v>
      </c>
      <c r="C55" s="2" t="s">
        <v>1</v>
      </c>
      <c r="D55" s="35" t="s">
        <v>63</v>
      </c>
      <c r="E55" s="35" t="s">
        <v>491</v>
      </c>
      <c r="F55" s="35" t="s">
        <v>15</v>
      </c>
      <c r="G55" s="35" t="s">
        <v>102</v>
      </c>
      <c r="H55" s="35" t="s">
        <v>90</v>
      </c>
      <c r="I55" s="2"/>
      <c r="J55" s="35">
        <v>1</v>
      </c>
    </row>
    <row r="56" spans="1:10">
      <c r="A56" s="34"/>
      <c r="B56" s="35">
        <v>16</v>
      </c>
      <c r="C56" s="2" t="s">
        <v>1</v>
      </c>
      <c r="D56" s="35" t="s">
        <v>57</v>
      </c>
      <c r="E56" s="35" t="s">
        <v>490</v>
      </c>
      <c r="F56" s="35" t="s">
        <v>15</v>
      </c>
      <c r="G56" s="35" t="s">
        <v>81</v>
      </c>
      <c r="H56" s="35" t="s">
        <v>83</v>
      </c>
      <c r="I56" s="2"/>
      <c r="J56" s="35">
        <v>4</v>
      </c>
    </row>
    <row r="57" spans="1:10">
      <c r="A57" s="33"/>
      <c r="B57" s="35">
        <v>16</v>
      </c>
      <c r="C57" s="2" t="s">
        <v>1</v>
      </c>
      <c r="D57" s="35" t="s">
        <v>57</v>
      </c>
      <c r="E57" s="35" t="s">
        <v>490</v>
      </c>
      <c r="F57" s="35" t="s">
        <v>15</v>
      </c>
      <c r="G57" s="35" t="s">
        <v>81</v>
      </c>
      <c r="H57" s="35" t="s">
        <v>84</v>
      </c>
      <c r="I57" s="2"/>
      <c r="J57" s="35">
        <v>7</v>
      </c>
    </row>
    <row r="58" spans="1:10">
      <c r="A58" s="33"/>
      <c r="B58" s="35">
        <v>16</v>
      </c>
      <c r="C58" s="2" t="s">
        <v>1</v>
      </c>
      <c r="D58" s="35" t="s">
        <v>57</v>
      </c>
      <c r="E58" s="35" t="s">
        <v>490</v>
      </c>
      <c r="F58" s="35" t="s">
        <v>15</v>
      </c>
      <c r="G58" s="35" t="s">
        <v>81</v>
      </c>
      <c r="H58" s="35" t="s">
        <v>85</v>
      </c>
      <c r="I58" s="2"/>
      <c r="J58" s="35">
        <v>1</v>
      </c>
    </row>
    <row r="59" spans="1:10">
      <c r="A59" s="33"/>
      <c r="B59" s="35">
        <v>16</v>
      </c>
      <c r="C59" s="2" t="s">
        <v>1</v>
      </c>
      <c r="D59" s="35" t="s">
        <v>57</v>
      </c>
      <c r="E59" s="35" t="s">
        <v>490</v>
      </c>
      <c r="F59" s="35" t="s">
        <v>15</v>
      </c>
      <c r="G59" s="35" t="s">
        <v>103</v>
      </c>
      <c r="H59" s="35" t="s">
        <v>91</v>
      </c>
      <c r="I59" s="2"/>
      <c r="J59" s="35">
        <v>1</v>
      </c>
    </row>
    <row r="60" spans="1:10">
      <c r="A60" s="34"/>
      <c r="B60" s="35">
        <v>17</v>
      </c>
      <c r="C60" s="2" t="s">
        <v>1</v>
      </c>
      <c r="D60" s="35" t="s">
        <v>63</v>
      </c>
      <c r="E60" s="35" t="s">
        <v>490</v>
      </c>
      <c r="F60" s="35" t="s">
        <v>72</v>
      </c>
      <c r="G60" s="35" t="s">
        <v>103</v>
      </c>
      <c r="H60" s="35" t="s">
        <v>89</v>
      </c>
      <c r="I60" s="2"/>
      <c r="J60" s="35">
        <v>2</v>
      </c>
    </row>
    <row r="61" spans="1:10">
      <c r="A61" s="33"/>
      <c r="B61" s="35">
        <v>17</v>
      </c>
      <c r="C61" s="2" t="s">
        <v>1</v>
      </c>
      <c r="D61" s="35" t="s">
        <v>63</v>
      </c>
      <c r="E61" s="35" t="s">
        <v>490</v>
      </c>
      <c r="F61" s="35" t="s">
        <v>72</v>
      </c>
      <c r="G61" s="35" t="s">
        <v>103</v>
      </c>
      <c r="H61" s="35" t="s">
        <v>90</v>
      </c>
      <c r="I61" s="2"/>
      <c r="J61" s="35">
        <v>10</v>
      </c>
    </row>
    <row r="62" spans="1:10">
      <c r="A62" s="33"/>
      <c r="B62" s="35">
        <v>17</v>
      </c>
      <c r="C62" s="2" t="s">
        <v>1</v>
      </c>
      <c r="D62" s="35" t="s">
        <v>63</v>
      </c>
      <c r="E62" s="35" t="s">
        <v>490</v>
      </c>
      <c r="F62" s="35" t="s">
        <v>72</v>
      </c>
      <c r="G62" s="35" t="s">
        <v>103</v>
      </c>
      <c r="H62" s="35" t="s">
        <v>91</v>
      </c>
      <c r="I62" s="2"/>
      <c r="J62" s="35">
        <v>3</v>
      </c>
    </row>
    <row r="63" spans="1:10">
      <c r="A63" s="33"/>
      <c r="B63" s="35">
        <v>17</v>
      </c>
      <c r="C63" s="2" t="s">
        <v>1</v>
      </c>
      <c r="D63" s="35" t="s">
        <v>63</v>
      </c>
      <c r="E63" s="35" t="s">
        <v>490</v>
      </c>
      <c r="F63" s="35" t="s">
        <v>72</v>
      </c>
      <c r="G63" s="35" t="s">
        <v>102</v>
      </c>
      <c r="H63" s="35" t="s">
        <v>91</v>
      </c>
      <c r="I63" s="2"/>
      <c r="J63" s="35">
        <v>1</v>
      </c>
    </row>
    <row r="64" spans="1:10">
      <c r="A64" s="33"/>
      <c r="B64" s="35">
        <v>17</v>
      </c>
      <c r="C64" s="2" t="s">
        <v>1</v>
      </c>
      <c r="D64" s="35" t="s">
        <v>63</v>
      </c>
      <c r="E64" s="35" t="s">
        <v>490</v>
      </c>
      <c r="F64" s="35" t="s">
        <v>72</v>
      </c>
      <c r="G64" s="35" t="s">
        <v>102</v>
      </c>
      <c r="H64" s="35" t="s">
        <v>93</v>
      </c>
      <c r="I64" s="2"/>
      <c r="J64" s="35">
        <v>1</v>
      </c>
    </row>
    <row r="65" spans="1:10">
      <c r="A65" s="34"/>
      <c r="B65" s="35">
        <v>18</v>
      </c>
      <c r="C65" s="2" t="s">
        <v>1</v>
      </c>
      <c r="D65" s="35" t="s">
        <v>493</v>
      </c>
      <c r="E65" s="35" t="s">
        <v>490</v>
      </c>
      <c r="F65" s="35" t="s">
        <v>72</v>
      </c>
      <c r="G65" s="35" t="s">
        <v>81</v>
      </c>
      <c r="H65" s="35" t="s">
        <v>80</v>
      </c>
      <c r="I65" s="2"/>
      <c r="J65" s="35">
        <v>1</v>
      </c>
    </row>
    <row r="66" spans="1:10">
      <c r="A66" s="33"/>
      <c r="B66" s="35">
        <v>18</v>
      </c>
      <c r="C66" s="2" t="s">
        <v>48</v>
      </c>
      <c r="D66" s="35" t="s">
        <v>53</v>
      </c>
      <c r="E66" s="35" t="s">
        <v>490</v>
      </c>
      <c r="F66" s="35" t="s">
        <v>72</v>
      </c>
      <c r="G66" s="35"/>
      <c r="H66" s="35" t="s">
        <v>96</v>
      </c>
      <c r="I66" s="2"/>
      <c r="J66" s="35">
        <v>1</v>
      </c>
    </row>
    <row r="67" spans="1:10">
      <c r="A67" s="34"/>
      <c r="B67" s="35">
        <v>19</v>
      </c>
      <c r="C67" s="2" t="s">
        <v>1</v>
      </c>
      <c r="D67" s="35" t="s">
        <v>64</v>
      </c>
      <c r="E67" s="35" t="s">
        <v>491</v>
      </c>
      <c r="F67" s="35" t="s">
        <v>72</v>
      </c>
      <c r="G67" s="35" t="s">
        <v>102</v>
      </c>
      <c r="H67" s="35" t="s">
        <v>90</v>
      </c>
      <c r="I67" s="2"/>
      <c r="J67" s="35">
        <v>1</v>
      </c>
    </row>
    <row r="68" spans="1:10">
      <c r="A68" s="34"/>
      <c r="B68" s="35">
        <v>20</v>
      </c>
      <c r="C68" s="2" t="s">
        <v>1</v>
      </c>
      <c r="D68" s="35" t="s">
        <v>63</v>
      </c>
      <c r="E68" s="35" t="s">
        <v>490</v>
      </c>
      <c r="F68" s="35" t="s">
        <v>72</v>
      </c>
      <c r="G68" s="35" t="s">
        <v>103</v>
      </c>
      <c r="H68" s="35" t="s">
        <v>90</v>
      </c>
      <c r="I68" s="2"/>
      <c r="J68" s="35">
        <v>2</v>
      </c>
    </row>
    <row r="69" spans="1:10">
      <c r="A69" s="33"/>
      <c r="B69" s="35">
        <v>20</v>
      </c>
      <c r="C69" s="2" t="s">
        <v>1</v>
      </c>
      <c r="D69" s="35" t="s">
        <v>63</v>
      </c>
      <c r="E69" s="35" t="s">
        <v>490</v>
      </c>
      <c r="F69" s="35" t="s">
        <v>73</v>
      </c>
      <c r="G69" s="35" t="s">
        <v>103</v>
      </c>
      <c r="H69" s="35" t="s">
        <v>90</v>
      </c>
      <c r="I69" s="2"/>
      <c r="J69" s="35">
        <v>1</v>
      </c>
    </row>
    <row r="70" spans="1:10">
      <c r="A70" s="34"/>
      <c r="B70" s="35">
        <v>21</v>
      </c>
      <c r="C70" s="2" t="s">
        <v>1</v>
      </c>
      <c r="D70" s="35" t="s">
        <v>61</v>
      </c>
      <c r="E70" s="35" t="s">
        <v>490</v>
      </c>
      <c r="F70" s="35" t="s">
        <v>15</v>
      </c>
      <c r="G70" s="35" t="s">
        <v>81</v>
      </c>
      <c r="H70" s="35" t="s">
        <v>84</v>
      </c>
      <c r="I70" s="2"/>
      <c r="J70" s="35">
        <v>1</v>
      </c>
    </row>
    <row r="71" spans="1:10">
      <c r="A71" s="33"/>
      <c r="B71" s="35">
        <v>21</v>
      </c>
      <c r="C71" s="2" t="s">
        <v>1</v>
      </c>
      <c r="D71" s="35" t="s">
        <v>61</v>
      </c>
      <c r="E71" s="35" t="s">
        <v>490</v>
      </c>
      <c r="F71" s="35" t="s">
        <v>73</v>
      </c>
      <c r="G71" s="35" t="s">
        <v>81</v>
      </c>
      <c r="H71" s="35" t="s">
        <v>85</v>
      </c>
      <c r="I71" s="2"/>
      <c r="J71" s="35">
        <v>1</v>
      </c>
    </row>
    <row r="72" spans="1:10">
      <c r="A72" s="33"/>
      <c r="B72" s="35">
        <v>21</v>
      </c>
      <c r="C72" s="2" t="s">
        <v>1</v>
      </c>
      <c r="D72" s="35" t="s">
        <v>61</v>
      </c>
      <c r="E72" s="35" t="s">
        <v>490</v>
      </c>
      <c r="F72" s="35" t="s">
        <v>72</v>
      </c>
      <c r="G72" s="35" t="s">
        <v>103</v>
      </c>
      <c r="H72" s="35" t="s">
        <v>90</v>
      </c>
      <c r="I72" s="2"/>
      <c r="J72" s="35">
        <v>2</v>
      </c>
    </row>
    <row r="73" spans="1:10">
      <c r="A73" s="33"/>
      <c r="B73" s="35">
        <v>21</v>
      </c>
      <c r="C73" s="2" t="s">
        <v>1</v>
      </c>
      <c r="D73" s="35" t="s">
        <v>61</v>
      </c>
      <c r="E73" s="35" t="s">
        <v>490</v>
      </c>
      <c r="F73" s="35" t="s">
        <v>73</v>
      </c>
      <c r="G73" s="35" t="s">
        <v>103</v>
      </c>
      <c r="H73" s="35" t="s">
        <v>91</v>
      </c>
      <c r="I73" s="2"/>
      <c r="J73" s="35">
        <v>1</v>
      </c>
    </row>
    <row r="74" spans="1:10">
      <c r="A74" s="33"/>
      <c r="B74" s="35">
        <v>21</v>
      </c>
      <c r="C74" s="2" t="s">
        <v>1</v>
      </c>
      <c r="D74" s="35" t="s">
        <v>53</v>
      </c>
      <c r="E74" s="35" t="s">
        <v>490</v>
      </c>
      <c r="F74" s="35" t="s">
        <v>15</v>
      </c>
      <c r="G74" s="35" t="s">
        <v>81</v>
      </c>
      <c r="H74" s="35" t="s">
        <v>85</v>
      </c>
      <c r="I74" s="2"/>
      <c r="J74" s="35">
        <v>1</v>
      </c>
    </row>
    <row r="75" spans="1:10">
      <c r="A75" s="34"/>
      <c r="B75" s="35">
        <v>22</v>
      </c>
      <c r="C75" s="2" t="s">
        <v>1</v>
      </c>
      <c r="D75" s="35" t="s">
        <v>64</v>
      </c>
      <c r="E75" s="35" t="s">
        <v>490</v>
      </c>
      <c r="F75" s="35" t="s">
        <v>72</v>
      </c>
      <c r="G75" s="35" t="s">
        <v>102</v>
      </c>
      <c r="H75" s="35" t="s">
        <v>91</v>
      </c>
      <c r="I75" s="2"/>
      <c r="J75" s="35">
        <v>1</v>
      </c>
    </row>
    <row r="76" spans="1:10">
      <c r="A76" s="33"/>
      <c r="B76" s="35">
        <v>22</v>
      </c>
      <c r="C76" s="2" t="s">
        <v>48</v>
      </c>
      <c r="D76" s="35" t="s">
        <v>64</v>
      </c>
      <c r="E76" s="35" t="s">
        <v>490</v>
      </c>
      <c r="F76" s="35" t="s">
        <v>72</v>
      </c>
      <c r="G76" s="35"/>
      <c r="H76" s="35" t="s">
        <v>94</v>
      </c>
      <c r="I76" s="2"/>
      <c r="J76" s="35">
        <v>1</v>
      </c>
    </row>
    <row r="77" spans="1:10">
      <c r="A77" s="34"/>
      <c r="B77" s="35">
        <v>23</v>
      </c>
      <c r="C77" s="2" t="s">
        <v>1</v>
      </c>
      <c r="D77" s="35" t="s">
        <v>53</v>
      </c>
      <c r="E77" s="35" t="s">
        <v>490</v>
      </c>
      <c r="F77" s="35" t="s">
        <v>72</v>
      </c>
      <c r="G77" s="35" t="s">
        <v>102</v>
      </c>
      <c r="H77" s="35" t="s">
        <v>90</v>
      </c>
      <c r="I77" s="2"/>
      <c r="J77" s="35">
        <v>1</v>
      </c>
    </row>
    <row r="78" spans="1:10">
      <c r="A78" s="34"/>
      <c r="B78" s="35">
        <v>24</v>
      </c>
      <c r="C78" s="2" t="s">
        <v>1</v>
      </c>
      <c r="D78" s="35" t="s">
        <v>494</v>
      </c>
      <c r="E78" s="35" t="s">
        <v>491</v>
      </c>
      <c r="F78" s="35" t="s">
        <v>72</v>
      </c>
      <c r="G78" s="35" t="s">
        <v>102</v>
      </c>
      <c r="H78" s="35" t="s">
        <v>80</v>
      </c>
      <c r="I78" s="2"/>
      <c r="J78" s="35">
        <v>1</v>
      </c>
    </row>
    <row r="79" spans="1:10">
      <c r="A79" s="33"/>
      <c r="B79" s="35">
        <v>24</v>
      </c>
      <c r="C79" s="2" t="s">
        <v>1</v>
      </c>
      <c r="D79" s="35" t="s">
        <v>494</v>
      </c>
      <c r="E79" s="35" t="s">
        <v>491</v>
      </c>
      <c r="F79" s="35" t="s">
        <v>72</v>
      </c>
      <c r="G79" s="35" t="s">
        <v>102</v>
      </c>
      <c r="H79" s="35" t="s">
        <v>89</v>
      </c>
      <c r="I79" s="2"/>
      <c r="J79" s="35">
        <v>1</v>
      </c>
    </row>
    <row r="80" spans="1:10">
      <c r="A80" s="33"/>
      <c r="B80" s="35">
        <v>24</v>
      </c>
      <c r="C80" s="2" t="s">
        <v>1</v>
      </c>
      <c r="D80" s="35" t="s">
        <v>494</v>
      </c>
      <c r="E80" s="35" t="s">
        <v>491</v>
      </c>
      <c r="F80" s="35" t="s">
        <v>72</v>
      </c>
      <c r="G80" s="35" t="s">
        <v>102</v>
      </c>
      <c r="H80" s="35" t="s">
        <v>91</v>
      </c>
      <c r="I80" s="2"/>
      <c r="J80" s="35">
        <v>1</v>
      </c>
    </row>
    <row r="81" spans="1:10">
      <c r="A81" s="34"/>
      <c r="B81" s="35">
        <v>25</v>
      </c>
      <c r="C81" s="2" t="s">
        <v>1</v>
      </c>
      <c r="D81" s="35" t="s">
        <v>57</v>
      </c>
      <c r="E81" s="35" t="s">
        <v>490</v>
      </c>
      <c r="F81" s="35" t="s">
        <v>15</v>
      </c>
      <c r="G81" s="35" t="s">
        <v>81</v>
      </c>
      <c r="H81" s="35" t="s">
        <v>83</v>
      </c>
      <c r="I81" s="2"/>
      <c r="J81" s="35">
        <v>1</v>
      </c>
    </row>
    <row r="82" spans="1:10">
      <c r="A82" s="34"/>
      <c r="B82" s="35">
        <v>26</v>
      </c>
      <c r="C82" s="2" t="s">
        <v>1</v>
      </c>
      <c r="D82" s="35" t="s">
        <v>64</v>
      </c>
      <c r="E82" s="35" t="s">
        <v>491</v>
      </c>
      <c r="F82" s="35" t="s">
        <v>15</v>
      </c>
      <c r="G82" s="35" t="s">
        <v>102</v>
      </c>
      <c r="H82" s="35" t="s">
        <v>91</v>
      </c>
      <c r="I82" s="2"/>
      <c r="J82" s="35">
        <v>2</v>
      </c>
    </row>
    <row r="83" spans="1:10">
      <c r="A83" s="33"/>
      <c r="B83" s="35">
        <v>26</v>
      </c>
      <c r="C83" s="2" t="s">
        <v>48</v>
      </c>
      <c r="D83" s="35" t="s">
        <v>64</v>
      </c>
      <c r="E83" s="35" t="s">
        <v>490</v>
      </c>
      <c r="F83" s="35" t="s">
        <v>15</v>
      </c>
      <c r="G83" s="35"/>
      <c r="H83" s="35" t="s">
        <v>96</v>
      </c>
      <c r="I83" s="2"/>
      <c r="J83" s="35">
        <v>1</v>
      </c>
    </row>
    <row r="84" spans="1:10">
      <c r="A84" s="34"/>
      <c r="B84" s="35">
        <v>27</v>
      </c>
      <c r="C84" s="2" t="s">
        <v>1</v>
      </c>
      <c r="D84" s="35" t="s">
        <v>492</v>
      </c>
      <c r="E84" s="35" t="s">
        <v>490</v>
      </c>
      <c r="F84" s="35" t="s">
        <v>71</v>
      </c>
      <c r="G84" s="35" t="s">
        <v>103</v>
      </c>
      <c r="H84" s="35" t="s">
        <v>91</v>
      </c>
      <c r="I84" s="2"/>
      <c r="J84" s="35">
        <v>1</v>
      </c>
    </row>
    <row r="85" spans="1:10">
      <c r="A85" s="33"/>
      <c r="B85" s="35">
        <v>27</v>
      </c>
      <c r="C85" s="2" t="s">
        <v>1</v>
      </c>
      <c r="D85" s="35" t="s">
        <v>492</v>
      </c>
      <c r="E85" s="35" t="s">
        <v>490</v>
      </c>
      <c r="F85" s="35" t="s">
        <v>70</v>
      </c>
      <c r="G85" s="35" t="s">
        <v>103</v>
      </c>
      <c r="H85" s="35" t="s">
        <v>91</v>
      </c>
      <c r="I85" s="2"/>
      <c r="J85" s="35">
        <v>1</v>
      </c>
    </row>
    <row r="86" spans="1:10">
      <c r="A86" s="33"/>
      <c r="B86" s="35">
        <v>27</v>
      </c>
      <c r="C86" s="2" t="s">
        <v>1</v>
      </c>
      <c r="D86" s="35" t="s">
        <v>492</v>
      </c>
      <c r="E86" s="35" t="s">
        <v>490</v>
      </c>
      <c r="F86" s="35" t="s">
        <v>15</v>
      </c>
      <c r="G86" s="35" t="s">
        <v>103</v>
      </c>
      <c r="H86" s="35" t="s">
        <v>91</v>
      </c>
      <c r="I86" s="2"/>
      <c r="J86" s="35">
        <v>2</v>
      </c>
    </row>
    <row r="87" spans="1:10">
      <c r="A87" s="33"/>
      <c r="B87" s="35">
        <v>27</v>
      </c>
      <c r="C87" s="2" t="s">
        <v>1</v>
      </c>
      <c r="D87" s="35" t="s">
        <v>492</v>
      </c>
      <c r="E87" s="35" t="s">
        <v>490</v>
      </c>
      <c r="F87" s="35" t="s">
        <v>72</v>
      </c>
      <c r="G87" s="35" t="s">
        <v>103</v>
      </c>
      <c r="H87" s="35" t="s">
        <v>91</v>
      </c>
      <c r="I87" s="2"/>
      <c r="J87" s="35">
        <v>2</v>
      </c>
    </row>
    <row r="88" spans="1:10">
      <c r="A88" s="34"/>
      <c r="B88" s="35">
        <v>28</v>
      </c>
      <c r="C88" s="2" t="s">
        <v>1</v>
      </c>
      <c r="D88" s="35" t="s">
        <v>492</v>
      </c>
      <c r="E88" s="35" t="s">
        <v>490</v>
      </c>
      <c r="F88" s="35" t="s">
        <v>74</v>
      </c>
      <c r="G88" s="35" t="s">
        <v>103</v>
      </c>
      <c r="H88" s="35" t="s">
        <v>91</v>
      </c>
      <c r="I88" s="2"/>
      <c r="J88" s="35">
        <v>2</v>
      </c>
    </row>
    <row r="89" spans="1:10">
      <c r="A89" s="33"/>
      <c r="B89" s="35">
        <v>28</v>
      </c>
      <c r="C89" s="2" t="s">
        <v>1</v>
      </c>
      <c r="D89" s="35" t="s">
        <v>492</v>
      </c>
      <c r="E89" s="35" t="s">
        <v>490</v>
      </c>
      <c r="F89" s="35" t="s">
        <v>75</v>
      </c>
      <c r="G89" s="35" t="s">
        <v>103</v>
      </c>
      <c r="H89" s="35" t="s">
        <v>91</v>
      </c>
      <c r="I89" s="2"/>
      <c r="J89" s="35">
        <v>2</v>
      </c>
    </row>
    <row r="90" spans="1:10">
      <c r="A90" s="33"/>
      <c r="B90" s="35">
        <v>28</v>
      </c>
      <c r="C90" s="2" t="s">
        <v>1</v>
      </c>
      <c r="D90" s="35" t="s">
        <v>492</v>
      </c>
      <c r="E90" s="35" t="s">
        <v>490</v>
      </c>
      <c r="F90" s="35" t="s">
        <v>15</v>
      </c>
      <c r="G90" s="35" t="s">
        <v>103</v>
      </c>
      <c r="H90" s="35" t="s">
        <v>91</v>
      </c>
      <c r="I90" s="2"/>
      <c r="J90" s="35">
        <v>2</v>
      </c>
    </row>
    <row r="91" spans="1:10">
      <c r="A91" s="34"/>
      <c r="B91" s="35">
        <v>29</v>
      </c>
      <c r="C91" s="2" t="s">
        <v>1</v>
      </c>
      <c r="D91" s="35" t="s">
        <v>64</v>
      </c>
      <c r="E91" s="35" t="s">
        <v>490</v>
      </c>
      <c r="F91" s="35" t="s">
        <v>15</v>
      </c>
      <c r="G91" s="35" t="s">
        <v>102</v>
      </c>
      <c r="H91" s="35" t="s">
        <v>91</v>
      </c>
      <c r="I91" s="2"/>
      <c r="J91" s="35">
        <v>2</v>
      </c>
    </row>
    <row r="92" spans="1:10">
      <c r="A92" s="34"/>
      <c r="B92" s="35">
        <v>30</v>
      </c>
      <c r="C92" s="2" t="s">
        <v>1</v>
      </c>
      <c r="D92" s="35" t="s">
        <v>53</v>
      </c>
      <c r="E92" s="35" t="s">
        <v>490</v>
      </c>
      <c r="F92" s="35" t="s">
        <v>73</v>
      </c>
      <c r="G92" s="35" t="s">
        <v>81</v>
      </c>
      <c r="H92" s="35" t="s">
        <v>80</v>
      </c>
      <c r="I92" s="2"/>
      <c r="J92" s="35">
        <v>1</v>
      </c>
    </row>
    <row r="93" spans="1:10">
      <c r="A93" s="33"/>
      <c r="B93" s="35">
        <v>30</v>
      </c>
      <c r="C93" s="2" t="s">
        <v>1</v>
      </c>
      <c r="D93" s="35" t="s">
        <v>53</v>
      </c>
      <c r="E93" s="35" t="s">
        <v>490</v>
      </c>
      <c r="F93" s="35" t="s">
        <v>73</v>
      </c>
      <c r="G93" s="35" t="s">
        <v>103</v>
      </c>
      <c r="H93" s="35" t="s">
        <v>89</v>
      </c>
      <c r="I93" s="2"/>
      <c r="J93" s="35">
        <v>1</v>
      </c>
    </row>
    <row r="94" spans="1:10">
      <c r="A94" s="33"/>
      <c r="B94" s="35">
        <v>30</v>
      </c>
      <c r="C94" s="2" t="s">
        <v>1</v>
      </c>
      <c r="D94" s="35" t="s">
        <v>53</v>
      </c>
      <c r="E94" s="35" t="s">
        <v>490</v>
      </c>
      <c r="F94" s="35" t="s">
        <v>73</v>
      </c>
      <c r="G94" s="35" t="s">
        <v>103</v>
      </c>
      <c r="H94" s="35" t="s">
        <v>90</v>
      </c>
      <c r="I94" s="2"/>
      <c r="J94" s="35">
        <v>2</v>
      </c>
    </row>
    <row r="95" spans="1:10">
      <c r="A95" s="33"/>
      <c r="B95" s="35">
        <v>30</v>
      </c>
      <c r="C95" s="2" t="s">
        <v>1</v>
      </c>
      <c r="D95" s="35" t="s">
        <v>53</v>
      </c>
      <c r="E95" s="35" t="s">
        <v>490</v>
      </c>
      <c r="F95" s="35" t="s">
        <v>73</v>
      </c>
      <c r="G95" s="35" t="s">
        <v>102</v>
      </c>
      <c r="H95" s="35" t="s">
        <v>90</v>
      </c>
      <c r="I95" s="2"/>
      <c r="J95" s="35">
        <v>4</v>
      </c>
    </row>
    <row r="96" spans="1:10">
      <c r="A96" s="33"/>
      <c r="B96" s="35">
        <v>30</v>
      </c>
      <c r="C96" s="2" t="s">
        <v>1</v>
      </c>
      <c r="D96" s="35" t="s">
        <v>53</v>
      </c>
      <c r="E96" s="35" t="s">
        <v>490</v>
      </c>
      <c r="F96" s="35" t="s">
        <v>73</v>
      </c>
      <c r="G96" s="35" t="s">
        <v>102</v>
      </c>
      <c r="H96" s="35" t="s">
        <v>91</v>
      </c>
      <c r="I96" s="2"/>
      <c r="J96" s="35">
        <v>4</v>
      </c>
    </row>
    <row r="97" spans="1:10">
      <c r="A97" s="34"/>
      <c r="B97" s="35">
        <v>31</v>
      </c>
      <c r="C97" s="2" t="s">
        <v>1</v>
      </c>
      <c r="D97" s="35" t="s">
        <v>64</v>
      </c>
      <c r="E97" s="35" t="s">
        <v>490</v>
      </c>
      <c r="F97" s="35" t="s">
        <v>15</v>
      </c>
      <c r="G97" s="35" t="s">
        <v>81</v>
      </c>
      <c r="H97" s="35" t="s">
        <v>82</v>
      </c>
      <c r="I97" s="2"/>
      <c r="J97" s="35">
        <v>1</v>
      </c>
    </row>
    <row r="98" spans="1:10">
      <c r="A98" s="33"/>
      <c r="B98" s="35">
        <v>31</v>
      </c>
      <c r="C98" s="2" t="s">
        <v>1</v>
      </c>
      <c r="D98" s="35" t="s">
        <v>64</v>
      </c>
      <c r="E98" s="35" t="s">
        <v>490</v>
      </c>
      <c r="F98" s="35" t="s">
        <v>72</v>
      </c>
      <c r="G98" s="35" t="s">
        <v>102</v>
      </c>
      <c r="H98" s="35" t="s">
        <v>90</v>
      </c>
      <c r="I98" s="2"/>
      <c r="J98" s="35">
        <v>1</v>
      </c>
    </row>
    <row r="99" spans="1:10">
      <c r="A99" s="33"/>
      <c r="B99" s="35">
        <v>31</v>
      </c>
      <c r="C99" s="2" t="s">
        <v>1</v>
      </c>
      <c r="D99" s="35" t="s">
        <v>64</v>
      </c>
      <c r="E99" s="35" t="s">
        <v>490</v>
      </c>
      <c r="F99" s="35" t="s">
        <v>72</v>
      </c>
      <c r="G99" s="35" t="s">
        <v>102</v>
      </c>
      <c r="H99" s="35" t="s">
        <v>91</v>
      </c>
      <c r="I99" s="2"/>
      <c r="J99" s="35">
        <v>1</v>
      </c>
    </row>
    <row r="100" spans="1:10">
      <c r="A100" s="34"/>
      <c r="B100" s="35">
        <v>32</v>
      </c>
      <c r="C100" s="2" t="s">
        <v>1</v>
      </c>
      <c r="D100" s="35" t="s">
        <v>53</v>
      </c>
      <c r="E100" s="35" t="s">
        <v>490</v>
      </c>
      <c r="F100" s="35" t="s">
        <v>15</v>
      </c>
      <c r="G100" s="35" t="s">
        <v>81</v>
      </c>
      <c r="H100" s="35" t="s">
        <v>80</v>
      </c>
      <c r="I100" s="2"/>
      <c r="J100" s="35">
        <v>1</v>
      </c>
    </row>
    <row r="101" spans="1:10">
      <c r="A101" s="33"/>
      <c r="B101" s="35">
        <v>32</v>
      </c>
      <c r="C101" s="2" t="s">
        <v>1</v>
      </c>
      <c r="D101" s="35" t="s">
        <v>53</v>
      </c>
      <c r="E101" s="35" t="s">
        <v>490</v>
      </c>
      <c r="F101" s="35" t="s">
        <v>74</v>
      </c>
      <c r="G101" s="35" t="s">
        <v>103</v>
      </c>
      <c r="H101" s="35" t="s">
        <v>89</v>
      </c>
      <c r="I101" s="2"/>
      <c r="J101" s="35">
        <v>1</v>
      </c>
    </row>
    <row r="102" spans="1:10">
      <c r="A102" s="33"/>
      <c r="B102" s="35">
        <v>32</v>
      </c>
      <c r="C102" s="2" t="s">
        <v>1</v>
      </c>
      <c r="D102" s="35" t="s">
        <v>53</v>
      </c>
      <c r="E102" s="35" t="s">
        <v>490</v>
      </c>
      <c r="F102" s="35" t="s">
        <v>66</v>
      </c>
      <c r="G102" s="35" t="s">
        <v>102</v>
      </c>
      <c r="H102" s="35" t="s">
        <v>90</v>
      </c>
      <c r="I102" s="2"/>
      <c r="J102" s="35">
        <v>1</v>
      </c>
    </row>
    <row r="103" spans="1:10">
      <c r="A103" s="34"/>
      <c r="B103" s="35">
        <v>33</v>
      </c>
      <c r="C103" s="2" t="s">
        <v>1</v>
      </c>
      <c r="D103" s="35" t="s">
        <v>57</v>
      </c>
      <c r="E103" s="35" t="s">
        <v>491</v>
      </c>
      <c r="F103" s="35" t="s">
        <v>66</v>
      </c>
      <c r="G103" s="35" t="s">
        <v>81</v>
      </c>
      <c r="H103" s="35" t="s">
        <v>82</v>
      </c>
      <c r="I103" s="2"/>
      <c r="J103" s="35">
        <v>7</v>
      </c>
    </row>
    <row r="104" spans="1:10">
      <c r="A104" s="33"/>
      <c r="B104" s="35">
        <v>33</v>
      </c>
      <c r="C104" s="2" t="s">
        <v>1</v>
      </c>
      <c r="D104" s="35" t="s">
        <v>57</v>
      </c>
      <c r="E104" s="35" t="s">
        <v>491</v>
      </c>
      <c r="F104" s="35" t="s">
        <v>66</v>
      </c>
      <c r="G104" s="35" t="s">
        <v>81</v>
      </c>
      <c r="H104" s="35" t="s">
        <v>83</v>
      </c>
      <c r="I104" s="2"/>
      <c r="J104" s="35">
        <v>1</v>
      </c>
    </row>
    <row r="105" spans="1:10">
      <c r="A105" s="33"/>
      <c r="B105" s="35">
        <v>33</v>
      </c>
      <c r="C105" s="2" t="s">
        <v>1</v>
      </c>
      <c r="D105" s="35" t="s">
        <v>57</v>
      </c>
      <c r="E105" s="35" t="s">
        <v>491</v>
      </c>
      <c r="F105" s="35" t="s">
        <v>66</v>
      </c>
      <c r="G105" s="35" t="s">
        <v>81</v>
      </c>
      <c r="H105" s="35" t="s">
        <v>84</v>
      </c>
      <c r="I105" s="2"/>
      <c r="J105" s="35">
        <v>2</v>
      </c>
    </row>
    <row r="106" spans="1:10">
      <c r="A106" s="33"/>
      <c r="B106" s="35">
        <v>33</v>
      </c>
      <c r="C106" s="2" t="s">
        <v>1</v>
      </c>
      <c r="D106" s="35" t="s">
        <v>57</v>
      </c>
      <c r="E106" s="35" t="s">
        <v>491</v>
      </c>
      <c r="F106" s="35" t="s">
        <v>66</v>
      </c>
      <c r="G106" s="35" t="s">
        <v>102</v>
      </c>
      <c r="H106" s="35" t="s">
        <v>89</v>
      </c>
      <c r="I106" s="2"/>
      <c r="J106" s="35">
        <v>1</v>
      </c>
    </row>
    <row r="107" spans="1:10">
      <c r="A107" s="33"/>
      <c r="B107" s="35">
        <v>33</v>
      </c>
      <c r="C107" s="2" t="s">
        <v>1</v>
      </c>
      <c r="D107" s="35" t="s">
        <v>57</v>
      </c>
      <c r="E107" s="35" t="s">
        <v>491</v>
      </c>
      <c r="F107" s="35" t="s">
        <v>66</v>
      </c>
      <c r="G107" s="35" t="s">
        <v>102</v>
      </c>
      <c r="H107" s="35" t="s">
        <v>90</v>
      </c>
      <c r="I107" s="2"/>
      <c r="J107" s="35">
        <v>1</v>
      </c>
    </row>
    <row r="108" spans="1:10">
      <c r="A108" s="33"/>
      <c r="B108" s="35">
        <v>33</v>
      </c>
      <c r="C108" s="2" t="s">
        <v>1</v>
      </c>
      <c r="D108" s="35" t="s">
        <v>57</v>
      </c>
      <c r="E108" s="35" t="s">
        <v>491</v>
      </c>
      <c r="F108" s="35" t="s">
        <v>66</v>
      </c>
      <c r="G108" s="35" t="s">
        <v>102</v>
      </c>
      <c r="H108" s="35" t="s">
        <v>91</v>
      </c>
      <c r="I108" s="2"/>
      <c r="J108" s="35">
        <v>2</v>
      </c>
    </row>
    <row r="109" spans="1:10">
      <c r="A109" s="33"/>
      <c r="B109" s="35">
        <v>33</v>
      </c>
      <c r="C109" s="2" t="s">
        <v>1</v>
      </c>
      <c r="D109" s="35" t="s">
        <v>57</v>
      </c>
      <c r="E109" s="35" t="s">
        <v>491</v>
      </c>
      <c r="F109" s="35" t="s">
        <v>66</v>
      </c>
      <c r="G109" s="35" t="s">
        <v>102</v>
      </c>
      <c r="H109" s="35" t="s">
        <v>92</v>
      </c>
      <c r="I109" s="2"/>
      <c r="J109" s="35">
        <v>4</v>
      </c>
    </row>
    <row r="110" spans="1:10">
      <c r="A110" s="34"/>
      <c r="B110" s="35">
        <v>34</v>
      </c>
      <c r="C110" s="2" t="s">
        <v>1</v>
      </c>
      <c r="D110" s="35" t="s">
        <v>64</v>
      </c>
      <c r="E110" s="35" t="s">
        <v>491</v>
      </c>
      <c r="F110" s="35" t="s">
        <v>15</v>
      </c>
      <c r="G110" s="35" t="s">
        <v>81</v>
      </c>
      <c r="H110" s="35" t="s">
        <v>86</v>
      </c>
      <c r="I110" s="2"/>
      <c r="J110" s="35">
        <v>1</v>
      </c>
    </row>
    <row r="111" spans="1:10">
      <c r="A111" s="33"/>
      <c r="B111" s="35">
        <v>34</v>
      </c>
      <c r="C111" s="2" t="s">
        <v>1</v>
      </c>
      <c r="D111" s="35" t="s">
        <v>64</v>
      </c>
      <c r="E111" s="35" t="s">
        <v>491</v>
      </c>
      <c r="F111" s="35" t="s">
        <v>15</v>
      </c>
      <c r="G111" s="35" t="s">
        <v>102</v>
      </c>
      <c r="H111" s="35" t="s">
        <v>92</v>
      </c>
      <c r="I111" s="2"/>
      <c r="J111" s="35">
        <v>1</v>
      </c>
    </row>
    <row r="112" spans="1:10">
      <c r="A112" s="33"/>
      <c r="B112" s="35">
        <v>34</v>
      </c>
      <c r="C112" s="2" t="s">
        <v>1</v>
      </c>
      <c r="D112" s="35" t="s">
        <v>64</v>
      </c>
      <c r="E112" s="35" t="s">
        <v>490</v>
      </c>
      <c r="F112" s="35" t="s">
        <v>72</v>
      </c>
      <c r="G112" s="35" t="s">
        <v>102</v>
      </c>
      <c r="H112" s="35" t="s">
        <v>89</v>
      </c>
      <c r="I112" s="2"/>
      <c r="J112" s="35">
        <v>1</v>
      </c>
    </row>
    <row r="113" spans="1:10">
      <c r="A113" s="33"/>
      <c r="B113" s="35">
        <v>34</v>
      </c>
      <c r="C113" s="2" t="s">
        <v>1</v>
      </c>
      <c r="D113" s="35" t="s">
        <v>64</v>
      </c>
      <c r="E113" s="35" t="s">
        <v>490</v>
      </c>
      <c r="F113" s="35" t="s">
        <v>72</v>
      </c>
      <c r="G113" s="35" t="s">
        <v>102</v>
      </c>
      <c r="H113" s="35" t="s">
        <v>90</v>
      </c>
      <c r="I113" s="2"/>
      <c r="J113" s="35">
        <v>3</v>
      </c>
    </row>
    <row r="114" spans="1:10">
      <c r="A114" s="33"/>
      <c r="B114" s="35">
        <v>34</v>
      </c>
      <c r="C114" s="2" t="s">
        <v>1</v>
      </c>
      <c r="D114" s="35" t="s">
        <v>64</v>
      </c>
      <c r="E114" s="35" t="s">
        <v>490</v>
      </c>
      <c r="F114" s="35" t="s">
        <v>72</v>
      </c>
      <c r="G114" s="35" t="s">
        <v>102</v>
      </c>
      <c r="H114" s="35" t="s">
        <v>91</v>
      </c>
      <c r="I114" s="2"/>
      <c r="J114" s="35">
        <v>2</v>
      </c>
    </row>
    <row r="115" spans="1:10">
      <c r="A115" s="33"/>
      <c r="B115" s="35">
        <v>34</v>
      </c>
      <c r="C115" s="2" t="s">
        <v>1</v>
      </c>
      <c r="D115" s="35" t="s">
        <v>64</v>
      </c>
      <c r="E115" s="35" t="s">
        <v>490</v>
      </c>
      <c r="F115" s="35" t="s">
        <v>72</v>
      </c>
      <c r="G115" s="35" t="s">
        <v>102</v>
      </c>
      <c r="H115" s="35" t="s">
        <v>93</v>
      </c>
      <c r="I115" s="2"/>
      <c r="J115" s="35">
        <v>1</v>
      </c>
    </row>
    <row r="116" spans="1:10">
      <c r="A116" s="33"/>
      <c r="B116" s="35">
        <v>34</v>
      </c>
      <c r="C116" s="2" t="s">
        <v>1</v>
      </c>
      <c r="D116" s="35" t="s">
        <v>64</v>
      </c>
      <c r="E116" s="35" t="s">
        <v>490</v>
      </c>
      <c r="F116" s="35" t="s">
        <v>15</v>
      </c>
      <c r="G116" s="35" t="s">
        <v>102</v>
      </c>
      <c r="H116" s="35" t="s">
        <v>90</v>
      </c>
      <c r="I116" s="2"/>
      <c r="J116" s="35">
        <v>2</v>
      </c>
    </row>
    <row r="117" spans="1:10">
      <c r="A117" s="33"/>
      <c r="B117" s="35">
        <v>34</v>
      </c>
      <c r="C117" s="2" t="s">
        <v>1</v>
      </c>
      <c r="D117" s="35" t="s">
        <v>64</v>
      </c>
      <c r="E117" s="35" t="s">
        <v>490</v>
      </c>
      <c r="F117" s="35" t="s">
        <v>68</v>
      </c>
      <c r="G117" s="35" t="s">
        <v>102</v>
      </c>
      <c r="H117" s="35" t="s">
        <v>90</v>
      </c>
      <c r="I117" s="2"/>
      <c r="J117" s="35">
        <v>1</v>
      </c>
    </row>
    <row r="118" spans="1:10">
      <c r="A118" s="33"/>
      <c r="B118" s="35">
        <v>34</v>
      </c>
      <c r="C118" s="2" t="s">
        <v>48</v>
      </c>
      <c r="D118" s="35" t="s">
        <v>64</v>
      </c>
      <c r="E118" s="35" t="s">
        <v>490</v>
      </c>
      <c r="F118" s="35" t="s">
        <v>15</v>
      </c>
      <c r="G118" s="35"/>
      <c r="H118" s="35" t="s">
        <v>96</v>
      </c>
      <c r="I118" s="2"/>
      <c r="J118" s="35">
        <v>1</v>
      </c>
    </row>
    <row r="119" spans="1:10">
      <c r="A119" s="34"/>
      <c r="B119" s="35">
        <v>35</v>
      </c>
      <c r="C119" s="2" t="s">
        <v>1</v>
      </c>
      <c r="D119" s="35" t="s">
        <v>64</v>
      </c>
      <c r="E119" s="35" t="s">
        <v>491</v>
      </c>
      <c r="F119" s="35" t="s">
        <v>72</v>
      </c>
      <c r="G119" s="35" t="s">
        <v>102</v>
      </c>
      <c r="H119" s="35" t="s">
        <v>89</v>
      </c>
      <c r="I119" s="2"/>
      <c r="J119" s="35">
        <v>1</v>
      </c>
    </row>
    <row r="120" spans="1:10">
      <c r="A120" s="33"/>
      <c r="B120" s="35">
        <v>35</v>
      </c>
      <c r="C120" s="2" t="s">
        <v>1</v>
      </c>
      <c r="D120" s="35" t="s">
        <v>64</v>
      </c>
      <c r="E120" s="35" t="s">
        <v>491</v>
      </c>
      <c r="F120" s="35" t="s">
        <v>72</v>
      </c>
      <c r="G120" s="35" t="s">
        <v>102</v>
      </c>
      <c r="H120" s="35" t="s">
        <v>90</v>
      </c>
      <c r="I120" s="2"/>
      <c r="J120" s="35">
        <v>6</v>
      </c>
    </row>
    <row r="121" spans="1:10">
      <c r="A121" s="33"/>
      <c r="B121" s="35">
        <v>35</v>
      </c>
      <c r="C121" s="2" t="s">
        <v>1</v>
      </c>
      <c r="D121" s="35" t="s">
        <v>64</v>
      </c>
      <c r="E121" s="35" t="s">
        <v>491</v>
      </c>
      <c r="F121" s="35" t="s">
        <v>72</v>
      </c>
      <c r="G121" s="35" t="s">
        <v>102</v>
      </c>
      <c r="H121" s="35" t="s">
        <v>91</v>
      </c>
      <c r="I121" s="2"/>
      <c r="J121" s="35">
        <v>2</v>
      </c>
    </row>
    <row r="122" spans="1:10">
      <c r="A122" s="33"/>
      <c r="B122" s="35">
        <v>35</v>
      </c>
      <c r="C122" s="2" t="s">
        <v>1</v>
      </c>
      <c r="D122" s="35" t="s">
        <v>64</v>
      </c>
      <c r="E122" s="35" t="s">
        <v>491</v>
      </c>
      <c r="F122" s="35" t="s">
        <v>72</v>
      </c>
      <c r="G122" s="35" t="s">
        <v>102</v>
      </c>
      <c r="H122" s="35" t="s">
        <v>92</v>
      </c>
      <c r="I122" s="2"/>
      <c r="J122" s="35">
        <v>1</v>
      </c>
    </row>
    <row r="123" spans="1:10">
      <c r="A123" s="33"/>
      <c r="B123" s="35">
        <v>35</v>
      </c>
      <c r="C123" s="2" t="s">
        <v>1</v>
      </c>
      <c r="D123" s="35" t="s">
        <v>64</v>
      </c>
      <c r="E123" s="35" t="s">
        <v>491</v>
      </c>
      <c r="F123" s="35" t="s">
        <v>72</v>
      </c>
      <c r="G123" s="35" t="s">
        <v>103</v>
      </c>
      <c r="H123" s="35" t="s">
        <v>89</v>
      </c>
      <c r="I123" s="2"/>
      <c r="J123" s="35">
        <v>1</v>
      </c>
    </row>
    <row r="124" spans="1:10">
      <c r="A124" s="33"/>
      <c r="B124" s="35">
        <v>35</v>
      </c>
      <c r="C124" s="2" t="s">
        <v>1</v>
      </c>
      <c r="D124" s="35" t="s">
        <v>64</v>
      </c>
      <c r="E124" s="35" t="s">
        <v>491</v>
      </c>
      <c r="F124" s="35" t="s">
        <v>72</v>
      </c>
      <c r="G124" s="35" t="s">
        <v>103</v>
      </c>
      <c r="H124" s="35" t="s">
        <v>90</v>
      </c>
      <c r="I124" s="2"/>
      <c r="J124" s="35">
        <v>1</v>
      </c>
    </row>
    <row r="125" spans="1:10">
      <c r="A125" s="33"/>
      <c r="B125" s="35">
        <v>35</v>
      </c>
      <c r="C125" s="2" t="s">
        <v>1</v>
      </c>
      <c r="D125" s="35" t="s">
        <v>57</v>
      </c>
      <c r="E125" s="35" t="s">
        <v>491</v>
      </c>
      <c r="F125" s="35" t="s">
        <v>15</v>
      </c>
      <c r="G125" s="35" t="s">
        <v>81</v>
      </c>
      <c r="H125" s="35" t="s">
        <v>83</v>
      </c>
      <c r="I125" s="2"/>
      <c r="J125" s="35">
        <v>1</v>
      </c>
    </row>
    <row r="126" spans="1:10">
      <c r="A126" s="33"/>
      <c r="B126" s="35">
        <v>35</v>
      </c>
      <c r="C126" s="2" t="s">
        <v>1</v>
      </c>
      <c r="D126" s="35" t="s">
        <v>57</v>
      </c>
      <c r="E126" s="35" t="s">
        <v>491</v>
      </c>
      <c r="F126" s="35" t="s">
        <v>15</v>
      </c>
      <c r="G126" s="35" t="s">
        <v>81</v>
      </c>
      <c r="H126" s="35" t="s">
        <v>84</v>
      </c>
      <c r="I126" s="2"/>
      <c r="J126" s="35">
        <v>7</v>
      </c>
    </row>
    <row r="127" spans="1:10">
      <c r="A127" s="33"/>
      <c r="B127" s="35">
        <v>35</v>
      </c>
      <c r="C127" s="2" t="s">
        <v>1</v>
      </c>
      <c r="D127" s="35" t="s">
        <v>57</v>
      </c>
      <c r="E127" s="35" t="s">
        <v>491</v>
      </c>
      <c r="F127" s="35" t="s">
        <v>15</v>
      </c>
      <c r="G127" s="35" t="s">
        <v>81</v>
      </c>
      <c r="H127" s="35" t="s">
        <v>85</v>
      </c>
      <c r="I127" s="2"/>
      <c r="J127" s="35">
        <v>2</v>
      </c>
    </row>
    <row r="128" spans="1:10">
      <c r="A128" s="33"/>
      <c r="B128" s="35">
        <v>35</v>
      </c>
      <c r="C128" s="2" t="s">
        <v>1</v>
      </c>
      <c r="D128" s="35" t="s">
        <v>57</v>
      </c>
      <c r="E128" s="35" t="s">
        <v>491</v>
      </c>
      <c r="F128" s="35" t="s">
        <v>15</v>
      </c>
      <c r="G128" s="35" t="s">
        <v>103</v>
      </c>
      <c r="H128" s="35" t="s">
        <v>89</v>
      </c>
      <c r="I128" s="2"/>
      <c r="J128" s="35">
        <v>1</v>
      </c>
    </row>
    <row r="129" spans="1:10">
      <c r="A129" s="33"/>
      <c r="B129" s="35">
        <v>35</v>
      </c>
      <c r="C129" s="2" t="s">
        <v>1</v>
      </c>
      <c r="D129" s="35" t="s">
        <v>57</v>
      </c>
      <c r="E129" s="35" t="s">
        <v>491</v>
      </c>
      <c r="F129" s="35" t="s">
        <v>15</v>
      </c>
      <c r="G129" s="35" t="s">
        <v>103</v>
      </c>
      <c r="H129" s="35" t="s">
        <v>90</v>
      </c>
      <c r="I129" s="2"/>
      <c r="J129" s="35">
        <v>1</v>
      </c>
    </row>
    <row r="130" spans="1:10">
      <c r="A130" s="34"/>
      <c r="B130" s="35">
        <v>36</v>
      </c>
      <c r="C130" s="2" t="s">
        <v>1</v>
      </c>
      <c r="D130" s="35" t="s">
        <v>64</v>
      </c>
      <c r="E130" s="35" t="s">
        <v>491</v>
      </c>
      <c r="F130" s="35" t="s">
        <v>72</v>
      </c>
      <c r="G130" s="35" t="s">
        <v>102</v>
      </c>
      <c r="H130" s="35" t="s">
        <v>92</v>
      </c>
      <c r="I130" s="2"/>
      <c r="J130" s="35">
        <v>2</v>
      </c>
    </row>
    <row r="131" spans="1:10">
      <c r="A131" s="33"/>
      <c r="B131" s="35">
        <v>36</v>
      </c>
      <c r="C131" s="2" t="s">
        <v>1</v>
      </c>
      <c r="D131" s="35" t="s">
        <v>64</v>
      </c>
      <c r="E131" s="35" t="s">
        <v>491</v>
      </c>
      <c r="F131" s="35" t="s">
        <v>15</v>
      </c>
      <c r="G131" s="35" t="s">
        <v>102</v>
      </c>
      <c r="H131" s="35" t="s">
        <v>92</v>
      </c>
      <c r="I131" s="2"/>
      <c r="J131" s="35">
        <v>1</v>
      </c>
    </row>
    <row r="132" spans="1:10">
      <c r="A132" s="34"/>
      <c r="B132" s="35">
        <v>37</v>
      </c>
      <c r="C132" s="2" t="s">
        <v>1</v>
      </c>
      <c r="D132" s="35" t="s">
        <v>64</v>
      </c>
      <c r="E132" s="35" t="s">
        <v>490</v>
      </c>
      <c r="F132" s="35" t="s">
        <v>72</v>
      </c>
      <c r="G132" s="35" t="s">
        <v>103</v>
      </c>
      <c r="H132" s="35" t="s">
        <v>89</v>
      </c>
      <c r="I132" s="2"/>
      <c r="J132" s="35">
        <v>1</v>
      </c>
    </row>
    <row r="133" spans="1:10">
      <c r="A133" s="33"/>
      <c r="B133" s="35">
        <v>37</v>
      </c>
      <c r="C133" s="2" t="s">
        <v>1</v>
      </c>
      <c r="D133" s="35" t="s">
        <v>64</v>
      </c>
      <c r="E133" s="35" t="s">
        <v>490</v>
      </c>
      <c r="F133" s="35" t="s">
        <v>72</v>
      </c>
      <c r="G133" s="35" t="s">
        <v>102</v>
      </c>
      <c r="H133" s="35" t="s">
        <v>89</v>
      </c>
      <c r="I133" s="2"/>
      <c r="J133" s="35">
        <v>1</v>
      </c>
    </row>
    <row r="134" spans="1:10">
      <c r="A134" s="34"/>
      <c r="B134" s="35">
        <v>38</v>
      </c>
      <c r="C134" s="2" t="s">
        <v>1</v>
      </c>
      <c r="D134" s="35" t="s">
        <v>53</v>
      </c>
      <c r="E134" s="35" t="s">
        <v>490</v>
      </c>
      <c r="F134" s="35" t="s">
        <v>15</v>
      </c>
      <c r="G134" s="35" t="s">
        <v>81</v>
      </c>
      <c r="H134" s="35" t="s">
        <v>85</v>
      </c>
      <c r="I134" s="2"/>
      <c r="J134" s="35">
        <v>1</v>
      </c>
    </row>
    <row r="135" spans="1:10">
      <c r="A135" s="33"/>
      <c r="B135" s="35">
        <v>38</v>
      </c>
      <c r="C135" s="2" t="s">
        <v>1</v>
      </c>
      <c r="D135" s="35" t="s">
        <v>53</v>
      </c>
      <c r="E135" s="35" t="s">
        <v>490</v>
      </c>
      <c r="F135" s="35" t="s">
        <v>66</v>
      </c>
      <c r="G135" s="35" t="s">
        <v>81</v>
      </c>
      <c r="H135" s="35" t="s">
        <v>85</v>
      </c>
      <c r="I135" s="2"/>
      <c r="J135" s="35">
        <v>1</v>
      </c>
    </row>
    <row r="136" spans="1:10">
      <c r="A136" s="33"/>
      <c r="B136" s="35">
        <v>38</v>
      </c>
      <c r="C136" s="2" t="s">
        <v>1</v>
      </c>
      <c r="D136" s="35" t="s">
        <v>53</v>
      </c>
      <c r="E136" s="35" t="s">
        <v>490</v>
      </c>
      <c r="F136" s="35" t="s">
        <v>72</v>
      </c>
      <c r="G136" s="35" t="s">
        <v>102</v>
      </c>
      <c r="H136" s="35" t="s">
        <v>90</v>
      </c>
      <c r="I136" s="2"/>
      <c r="J136" s="35">
        <v>1</v>
      </c>
    </row>
    <row r="137" spans="1:10">
      <c r="A137" s="33"/>
      <c r="B137" s="35">
        <v>38</v>
      </c>
      <c r="C137" s="2" t="s">
        <v>1</v>
      </c>
      <c r="D137" s="35" t="s">
        <v>53</v>
      </c>
      <c r="E137" s="35" t="s">
        <v>490</v>
      </c>
      <c r="F137" s="35" t="s">
        <v>72</v>
      </c>
      <c r="G137" s="35" t="s">
        <v>103</v>
      </c>
      <c r="H137" s="35" t="s">
        <v>91</v>
      </c>
      <c r="I137" s="2"/>
      <c r="J137" s="35">
        <v>1</v>
      </c>
    </row>
    <row r="138" spans="1:10">
      <c r="A138" s="33"/>
      <c r="B138" s="35">
        <v>38</v>
      </c>
      <c r="C138" s="2" t="s">
        <v>1</v>
      </c>
      <c r="D138" s="35" t="s">
        <v>53</v>
      </c>
      <c r="E138" s="35" t="s">
        <v>490</v>
      </c>
      <c r="F138" s="35" t="s">
        <v>72</v>
      </c>
      <c r="G138" s="35" t="s">
        <v>102</v>
      </c>
      <c r="H138" s="35" t="s">
        <v>91</v>
      </c>
      <c r="I138" s="2"/>
      <c r="J138" s="35">
        <v>1</v>
      </c>
    </row>
    <row r="139" spans="1:10">
      <c r="A139" s="34"/>
      <c r="B139" s="35">
        <v>39</v>
      </c>
      <c r="C139" s="2" t="s">
        <v>1</v>
      </c>
      <c r="D139" s="35" t="s">
        <v>61</v>
      </c>
      <c r="E139" s="35" t="s">
        <v>490</v>
      </c>
      <c r="F139" s="35" t="s">
        <v>15</v>
      </c>
      <c r="G139" s="35" t="s">
        <v>102</v>
      </c>
      <c r="H139" s="35" t="s">
        <v>90</v>
      </c>
      <c r="I139" s="2"/>
      <c r="J139" s="35">
        <v>1</v>
      </c>
    </row>
    <row r="140" spans="1:10">
      <c r="A140" s="34"/>
      <c r="B140" s="35">
        <v>40</v>
      </c>
      <c r="C140" s="2" t="s">
        <v>1</v>
      </c>
      <c r="D140" s="35" t="s">
        <v>64</v>
      </c>
      <c r="E140" s="35" t="s">
        <v>490</v>
      </c>
      <c r="F140" s="35" t="s">
        <v>15</v>
      </c>
      <c r="G140" s="35" t="s">
        <v>102</v>
      </c>
      <c r="H140" s="35" t="s">
        <v>92</v>
      </c>
      <c r="I140" s="2"/>
      <c r="J140" s="35">
        <v>2</v>
      </c>
    </row>
    <row r="141" spans="1:10">
      <c r="A141" s="33"/>
      <c r="B141" s="35">
        <v>40</v>
      </c>
      <c r="C141" s="2" t="s">
        <v>1</v>
      </c>
      <c r="D141" s="35" t="s">
        <v>64</v>
      </c>
      <c r="E141" s="35" t="s">
        <v>490</v>
      </c>
      <c r="F141" s="35" t="s">
        <v>15</v>
      </c>
      <c r="G141" s="35" t="s">
        <v>102</v>
      </c>
      <c r="H141" s="35" t="s">
        <v>93</v>
      </c>
      <c r="I141" s="2"/>
      <c r="J141" s="35">
        <v>1</v>
      </c>
    </row>
    <row r="142" spans="1:10">
      <c r="A142" s="34"/>
      <c r="B142" s="35">
        <v>41</v>
      </c>
      <c r="C142" s="2" t="s">
        <v>1</v>
      </c>
      <c r="D142" s="35" t="s">
        <v>64</v>
      </c>
      <c r="E142" s="35" t="s">
        <v>490</v>
      </c>
      <c r="F142" s="35" t="s">
        <v>15</v>
      </c>
      <c r="G142" s="35" t="s">
        <v>81</v>
      </c>
      <c r="H142" s="35" t="s">
        <v>82</v>
      </c>
      <c r="I142" s="2"/>
      <c r="J142" s="35">
        <v>5</v>
      </c>
    </row>
    <row r="143" spans="1:10">
      <c r="A143" s="33"/>
      <c r="B143" s="35">
        <v>41</v>
      </c>
      <c r="C143" s="2" t="s">
        <v>1</v>
      </c>
      <c r="D143" s="35" t="s">
        <v>64</v>
      </c>
      <c r="E143" s="35" t="s">
        <v>490</v>
      </c>
      <c r="F143" s="35" t="s">
        <v>15</v>
      </c>
      <c r="G143" s="35" t="s">
        <v>81</v>
      </c>
      <c r="H143" s="35" t="s">
        <v>83</v>
      </c>
      <c r="I143" s="2"/>
      <c r="J143" s="35">
        <v>4</v>
      </c>
    </row>
    <row r="144" spans="1:10">
      <c r="A144" s="33"/>
      <c r="B144" s="35">
        <v>41</v>
      </c>
      <c r="C144" s="2" t="s">
        <v>1</v>
      </c>
      <c r="D144" s="35" t="s">
        <v>64</v>
      </c>
      <c r="E144" s="35" t="s">
        <v>490</v>
      </c>
      <c r="F144" s="35" t="s">
        <v>72</v>
      </c>
      <c r="G144" s="35" t="s">
        <v>102</v>
      </c>
      <c r="H144" s="35" t="s">
        <v>90</v>
      </c>
      <c r="I144" s="2"/>
      <c r="J144" s="35">
        <v>5</v>
      </c>
    </row>
    <row r="145" spans="1:13">
      <c r="A145" s="33"/>
      <c r="B145" s="35">
        <v>41</v>
      </c>
      <c r="C145" s="2" t="s">
        <v>1</v>
      </c>
      <c r="D145" s="35" t="s">
        <v>64</v>
      </c>
      <c r="E145" s="35" t="s">
        <v>490</v>
      </c>
      <c r="F145" s="35" t="s">
        <v>72</v>
      </c>
      <c r="G145" s="35" t="s">
        <v>102</v>
      </c>
      <c r="H145" s="35" t="s">
        <v>91</v>
      </c>
      <c r="I145" s="2"/>
      <c r="J145" s="35">
        <v>3</v>
      </c>
    </row>
    <row r="146" spans="1:13">
      <c r="A146" s="34"/>
      <c r="B146" s="35">
        <v>42</v>
      </c>
      <c r="C146" s="2" t="s">
        <v>1</v>
      </c>
      <c r="D146" s="35" t="s">
        <v>64</v>
      </c>
      <c r="E146" s="35" t="s">
        <v>490</v>
      </c>
      <c r="F146" s="35" t="s">
        <v>72</v>
      </c>
      <c r="G146" s="35" t="s">
        <v>102</v>
      </c>
      <c r="H146" s="35" t="s">
        <v>89</v>
      </c>
      <c r="I146" s="2"/>
      <c r="J146" s="35">
        <v>3</v>
      </c>
    </row>
    <row r="147" spans="1:13">
      <c r="A147" s="33"/>
      <c r="B147" s="35">
        <v>42</v>
      </c>
      <c r="C147" s="2" t="s">
        <v>1</v>
      </c>
      <c r="D147" s="35" t="s">
        <v>64</v>
      </c>
      <c r="E147" s="35" t="s">
        <v>490</v>
      </c>
      <c r="F147" s="35" t="s">
        <v>72</v>
      </c>
      <c r="G147" s="35" t="s">
        <v>102</v>
      </c>
      <c r="H147" s="35" t="s">
        <v>90</v>
      </c>
      <c r="I147" s="2"/>
      <c r="J147" s="35">
        <v>1</v>
      </c>
    </row>
    <row r="148" spans="1:13">
      <c r="A148" s="33"/>
      <c r="B148" s="35">
        <v>42</v>
      </c>
      <c r="C148" s="2" t="s">
        <v>1</v>
      </c>
      <c r="D148" s="35" t="s">
        <v>64</v>
      </c>
      <c r="E148" s="35" t="s">
        <v>490</v>
      </c>
      <c r="F148" s="35" t="s">
        <v>72</v>
      </c>
      <c r="G148" s="35" t="s">
        <v>102</v>
      </c>
      <c r="H148" s="35" t="s">
        <v>90</v>
      </c>
      <c r="I148" s="2"/>
      <c r="J148" s="35">
        <v>2</v>
      </c>
    </row>
    <row r="149" spans="1:13">
      <c r="A149" s="33"/>
      <c r="B149" s="35">
        <v>42</v>
      </c>
      <c r="C149" s="2" t="s">
        <v>1</v>
      </c>
      <c r="D149" s="35" t="s">
        <v>53</v>
      </c>
      <c r="E149" s="35" t="s">
        <v>491</v>
      </c>
      <c r="F149" s="35" t="s">
        <v>72</v>
      </c>
      <c r="G149" s="35" t="s">
        <v>102</v>
      </c>
      <c r="H149" s="35" t="s">
        <v>91</v>
      </c>
      <c r="I149" s="2"/>
      <c r="J149" s="35">
        <v>1</v>
      </c>
    </row>
    <row r="150" spans="1:13">
      <c r="A150" s="34"/>
      <c r="B150" s="35">
        <v>43</v>
      </c>
      <c r="C150" s="2" t="s">
        <v>1</v>
      </c>
      <c r="D150" s="35" t="s">
        <v>53</v>
      </c>
      <c r="E150" s="35" t="s">
        <v>490</v>
      </c>
      <c r="F150" s="35" t="s">
        <v>72</v>
      </c>
      <c r="G150" s="35" t="s">
        <v>102</v>
      </c>
      <c r="H150" s="35" t="s">
        <v>90</v>
      </c>
      <c r="I150" s="2"/>
      <c r="J150" s="35">
        <v>1</v>
      </c>
    </row>
    <row r="151" spans="1:13">
      <c r="A151" s="34"/>
      <c r="B151" s="35">
        <v>44</v>
      </c>
      <c r="C151" s="2" t="s">
        <v>1</v>
      </c>
      <c r="D151" s="35" t="s">
        <v>64</v>
      </c>
      <c r="E151" s="35" t="s">
        <v>491</v>
      </c>
      <c r="F151" s="35" t="s">
        <v>15</v>
      </c>
      <c r="G151" s="35" t="s">
        <v>81</v>
      </c>
      <c r="H151" s="35" t="s">
        <v>82</v>
      </c>
      <c r="I151" s="2"/>
      <c r="J151" s="35">
        <v>1</v>
      </c>
    </row>
    <row r="152" spans="1:13">
      <c r="A152" s="33"/>
      <c r="B152" s="35">
        <v>44</v>
      </c>
      <c r="C152" s="2" t="s">
        <v>1</v>
      </c>
      <c r="D152" s="35" t="s">
        <v>64</v>
      </c>
      <c r="E152" s="35" t="s">
        <v>491</v>
      </c>
      <c r="F152" s="35" t="s">
        <v>15</v>
      </c>
      <c r="G152" s="35" t="s">
        <v>81</v>
      </c>
      <c r="H152" s="35" t="s">
        <v>83</v>
      </c>
      <c r="I152" s="2"/>
      <c r="J152" s="35">
        <v>6</v>
      </c>
    </row>
    <row r="153" spans="1:13">
      <c r="A153" s="33"/>
      <c r="B153" s="35">
        <v>44</v>
      </c>
      <c r="C153" s="2" t="s">
        <v>1</v>
      </c>
      <c r="D153" s="35" t="s">
        <v>64</v>
      </c>
      <c r="E153" s="35" t="s">
        <v>491</v>
      </c>
      <c r="F153" s="35" t="s">
        <v>15</v>
      </c>
      <c r="G153" s="35" t="s">
        <v>81</v>
      </c>
      <c r="H153" s="35" t="s">
        <v>84</v>
      </c>
      <c r="I153" s="2"/>
      <c r="J153" s="35">
        <v>5</v>
      </c>
    </row>
    <row r="154" spans="1:13">
      <c r="A154" s="33"/>
      <c r="B154" s="35">
        <v>44</v>
      </c>
      <c r="C154" s="2" t="s">
        <v>1</v>
      </c>
      <c r="D154" s="35" t="s">
        <v>64</v>
      </c>
      <c r="E154" s="35" t="s">
        <v>491</v>
      </c>
      <c r="F154" s="35" t="s">
        <v>15</v>
      </c>
      <c r="G154" s="35" t="s">
        <v>102</v>
      </c>
      <c r="H154" s="35" t="s">
        <v>90</v>
      </c>
      <c r="I154" s="2"/>
      <c r="J154" s="35">
        <v>5</v>
      </c>
    </row>
    <row r="155" spans="1:13">
      <c r="A155" s="33"/>
      <c r="B155" s="35">
        <v>44</v>
      </c>
      <c r="C155" s="2" t="s">
        <v>1</v>
      </c>
      <c r="D155" s="35" t="s">
        <v>64</v>
      </c>
      <c r="E155" s="35" t="s">
        <v>491</v>
      </c>
      <c r="F155" s="35" t="s">
        <v>15</v>
      </c>
      <c r="G155" s="35" t="s">
        <v>102</v>
      </c>
      <c r="H155" s="35" t="s">
        <v>91</v>
      </c>
      <c r="I155" s="2"/>
      <c r="J155" s="35">
        <v>5</v>
      </c>
    </row>
    <row r="156" spans="1:13">
      <c r="A156" s="33"/>
      <c r="B156" s="35">
        <v>44</v>
      </c>
      <c r="C156" s="2" t="s">
        <v>1</v>
      </c>
      <c r="D156" s="35" t="s">
        <v>64</v>
      </c>
      <c r="E156" s="35" t="s">
        <v>491</v>
      </c>
      <c r="F156" s="35" t="s">
        <v>15</v>
      </c>
      <c r="G156" s="35" t="s">
        <v>102</v>
      </c>
      <c r="H156" s="35" t="s">
        <v>92</v>
      </c>
      <c r="I156" s="2"/>
      <c r="J156" s="35">
        <v>1</v>
      </c>
    </row>
    <row r="157" spans="1:13">
      <c r="A157" s="33"/>
      <c r="B157" s="35">
        <v>44</v>
      </c>
      <c r="C157" s="2" t="s">
        <v>1</v>
      </c>
      <c r="D157" s="35" t="s">
        <v>64</v>
      </c>
      <c r="E157" s="35" t="s">
        <v>491</v>
      </c>
      <c r="F157" s="35" t="s">
        <v>72</v>
      </c>
      <c r="G157" s="35" t="s">
        <v>102</v>
      </c>
      <c r="H157" s="35" t="s">
        <v>92</v>
      </c>
      <c r="I157" s="2"/>
      <c r="J157" s="35">
        <v>1</v>
      </c>
    </row>
    <row r="158" spans="1:13">
      <c r="A158" s="33"/>
      <c r="B158" s="35">
        <v>44</v>
      </c>
      <c r="C158" s="2" t="s">
        <v>1</v>
      </c>
      <c r="D158" s="35" t="s">
        <v>64</v>
      </c>
      <c r="E158" s="35" t="s">
        <v>491</v>
      </c>
      <c r="F158" s="35" t="s">
        <v>72</v>
      </c>
      <c r="G158" s="35" t="s">
        <v>102</v>
      </c>
      <c r="H158" s="35" t="s">
        <v>93</v>
      </c>
      <c r="I158" s="2"/>
      <c r="J158" s="35">
        <v>1</v>
      </c>
    </row>
    <row r="159" spans="1:13">
      <c r="B159" s="2">
        <v>45</v>
      </c>
      <c r="C159" s="2" t="s">
        <v>1</v>
      </c>
      <c r="D159" s="2" t="s">
        <v>53</v>
      </c>
      <c r="E159" s="49" t="s">
        <v>491</v>
      </c>
      <c r="F159" s="2" t="s">
        <v>73</v>
      </c>
      <c r="G159" s="2" t="s">
        <v>103</v>
      </c>
      <c r="H159" s="2" t="s">
        <v>90</v>
      </c>
      <c r="I159" s="2"/>
      <c r="J159" s="2">
        <v>1</v>
      </c>
      <c r="K159" s="2"/>
      <c r="M159" s="2"/>
    </row>
    <row r="160" spans="1:13">
      <c r="B160" s="2">
        <v>45</v>
      </c>
      <c r="C160" s="2" t="s">
        <v>1</v>
      </c>
      <c r="D160" s="2" t="s">
        <v>53</v>
      </c>
      <c r="E160" s="49" t="s">
        <v>491</v>
      </c>
      <c r="F160" s="2" t="s">
        <v>73</v>
      </c>
      <c r="G160" s="2" t="s">
        <v>102</v>
      </c>
      <c r="H160" s="2" t="s">
        <v>91</v>
      </c>
      <c r="I160" s="2"/>
      <c r="J160" s="2">
        <v>1</v>
      </c>
      <c r="K160" s="2"/>
      <c r="M160" s="2"/>
    </row>
    <row r="161" spans="2:13">
      <c r="B161" s="2">
        <v>46</v>
      </c>
      <c r="C161" s="2" t="s">
        <v>1</v>
      </c>
      <c r="D161" s="2" t="s">
        <v>64</v>
      </c>
      <c r="E161" s="49" t="s">
        <v>490</v>
      </c>
      <c r="F161" s="2" t="s">
        <v>72</v>
      </c>
      <c r="G161" s="2" t="s">
        <v>102</v>
      </c>
      <c r="H161" s="2" t="s">
        <v>91</v>
      </c>
      <c r="I161" s="2"/>
      <c r="J161" s="2">
        <v>1</v>
      </c>
      <c r="K161" s="2"/>
      <c r="M161" s="2"/>
    </row>
    <row r="162" spans="2:13">
      <c r="B162" s="2">
        <v>47</v>
      </c>
      <c r="C162" s="2" t="s">
        <v>1</v>
      </c>
      <c r="D162" s="2" t="s">
        <v>64</v>
      </c>
      <c r="E162" s="49" t="s">
        <v>490</v>
      </c>
      <c r="F162" s="2" t="s">
        <v>72</v>
      </c>
      <c r="G162" s="2" t="s">
        <v>102</v>
      </c>
      <c r="H162" s="2" t="s">
        <v>90</v>
      </c>
      <c r="I162" s="2"/>
      <c r="J162" s="2">
        <v>1</v>
      </c>
      <c r="K162" s="2"/>
      <c r="M162" s="2"/>
    </row>
    <row r="163" spans="2:13">
      <c r="B163" s="2">
        <v>47</v>
      </c>
      <c r="C163" s="2" t="s">
        <v>1</v>
      </c>
      <c r="D163" s="2" t="s">
        <v>64</v>
      </c>
      <c r="E163" s="49" t="s">
        <v>490</v>
      </c>
      <c r="F163" s="2" t="s">
        <v>68</v>
      </c>
      <c r="G163" s="2" t="s">
        <v>102</v>
      </c>
      <c r="H163" s="2" t="s">
        <v>91</v>
      </c>
      <c r="I163" s="2"/>
      <c r="J163" s="2">
        <v>1</v>
      </c>
      <c r="K163" s="2"/>
      <c r="M163" s="2"/>
    </row>
    <row r="164" spans="2:13">
      <c r="B164" s="2">
        <v>47</v>
      </c>
      <c r="C164" s="2" t="s">
        <v>1</v>
      </c>
      <c r="D164" s="2" t="s">
        <v>64</v>
      </c>
      <c r="E164" s="49" t="s">
        <v>490</v>
      </c>
      <c r="F164" s="2" t="s">
        <v>72</v>
      </c>
      <c r="G164" s="2" t="s">
        <v>102</v>
      </c>
      <c r="H164" s="2" t="s">
        <v>93</v>
      </c>
      <c r="I164" s="2"/>
      <c r="J164" s="2">
        <v>1</v>
      </c>
      <c r="K164" s="2"/>
      <c r="M164" s="2"/>
    </row>
    <row r="165" spans="2:13">
      <c r="B165" s="2">
        <v>48</v>
      </c>
      <c r="C165" s="2" t="s">
        <v>47</v>
      </c>
      <c r="D165" s="2" t="s">
        <v>64</v>
      </c>
      <c r="E165" s="49" t="s">
        <v>99</v>
      </c>
      <c r="F165" s="2" t="s">
        <v>72</v>
      </c>
      <c r="G165" s="2" t="s">
        <v>105</v>
      </c>
      <c r="H165" s="2" t="s">
        <v>91</v>
      </c>
      <c r="I165" s="2"/>
      <c r="J165" s="2">
        <v>2</v>
      </c>
      <c r="K165" s="2"/>
      <c r="M165" s="2"/>
    </row>
    <row r="166" spans="2:13">
      <c r="B166" s="2">
        <v>49</v>
      </c>
      <c r="C166" s="2" t="s">
        <v>1</v>
      </c>
      <c r="D166" s="2" t="s">
        <v>53</v>
      </c>
      <c r="E166" s="49" t="s">
        <v>491</v>
      </c>
      <c r="F166" s="2" t="s">
        <v>15</v>
      </c>
      <c r="G166" s="2" t="s">
        <v>81</v>
      </c>
      <c r="H166" s="2" t="s">
        <v>80</v>
      </c>
      <c r="I166" s="2"/>
      <c r="J166" s="2">
        <v>1</v>
      </c>
      <c r="K166" s="2"/>
      <c r="M166" s="2"/>
    </row>
    <row r="167" spans="2:13">
      <c r="B167" s="2">
        <v>49</v>
      </c>
      <c r="C167" s="2" t="s">
        <v>1</v>
      </c>
      <c r="D167" s="2" t="s">
        <v>53</v>
      </c>
      <c r="E167" s="49" t="s">
        <v>491</v>
      </c>
      <c r="F167" s="2" t="s">
        <v>15</v>
      </c>
      <c r="G167" s="2" t="s">
        <v>81</v>
      </c>
      <c r="H167" s="2" t="s">
        <v>84</v>
      </c>
      <c r="I167" s="2"/>
      <c r="J167" s="2">
        <v>1</v>
      </c>
      <c r="K167" s="2"/>
      <c r="M167" s="2"/>
    </row>
    <row r="168" spans="2:13">
      <c r="B168" s="2">
        <v>49</v>
      </c>
      <c r="C168" s="2" t="s">
        <v>1</v>
      </c>
      <c r="D168" s="2" t="s">
        <v>53</v>
      </c>
      <c r="E168" s="49" t="s">
        <v>491</v>
      </c>
      <c r="F168" s="2" t="s">
        <v>15</v>
      </c>
      <c r="G168" s="2" t="s">
        <v>103</v>
      </c>
      <c r="H168" s="2" t="s">
        <v>90</v>
      </c>
      <c r="I168" s="2"/>
      <c r="J168" s="2">
        <v>1</v>
      </c>
      <c r="K168" s="2"/>
      <c r="M168" s="2"/>
    </row>
    <row r="169" spans="2:13">
      <c r="B169" s="2">
        <v>49</v>
      </c>
      <c r="C169" s="2" t="s">
        <v>1</v>
      </c>
      <c r="D169" s="2" t="s">
        <v>53</v>
      </c>
      <c r="E169" s="49" t="s">
        <v>491</v>
      </c>
      <c r="F169" s="2" t="s">
        <v>15</v>
      </c>
      <c r="G169" s="2" t="s">
        <v>102</v>
      </c>
      <c r="H169" s="2" t="s">
        <v>91</v>
      </c>
      <c r="I169" s="2"/>
      <c r="J169" s="2">
        <v>1</v>
      </c>
      <c r="K169" s="2"/>
      <c r="M169" s="2"/>
    </row>
    <row r="170" spans="2:13">
      <c r="B170" s="2">
        <v>50</v>
      </c>
      <c r="C170" s="2" t="s">
        <v>1</v>
      </c>
      <c r="D170" s="2" t="s">
        <v>53</v>
      </c>
      <c r="E170" s="49" t="s">
        <v>491</v>
      </c>
      <c r="F170" s="2" t="s">
        <v>15</v>
      </c>
      <c r="G170" s="2" t="s">
        <v>81</v>
      </c>
      <c r="H170" s="2" t="s">
        <v>85</v>
      </c>
      <c r="I170" s="2"/>
      <c r="J170" s="2">
        <v>1</v>
      </c>
      <c r="K170" s="2"/>
      <c r="M170" s="2"/>
    </row>
    <row r="171" spans="2:13">
      <c r="B171" s="2">
        <v>51</v>
      </c>
      <c r="C171" s="2" t="s">
        <v>1</v>
      </c>
      <c r="D171" s="2" t="s">
        <v>64</v>
      </c>
      <c r="E171" s="49" t="s">
        <v>490</v>
      </c>
      <c r="F171" s="2" t="s">
        <v>15</v>
      </c>
      <c r="G171" s="2" t="s">
        <v>102</v>
      </c>
      <c r="H171" s="2" t="s">
        <v>91</v>
      </c>
      <c r="I171" s="2"/>
      <c r="J171" s="2">
        <v>1</v>
      </c>
      <c r="K171" s="2"/>
      <c r="M171" s="2"/>
    </row>
    <row r="172" spans="2:13">
      <c r="B172" s="2">
        <v>52</v>
      </c>
      <c r="C172" s="2" t="s">
        <v>1</v>
      </c>
      <c r="D172" s="2" t="s">
        <v>64</v>
      </c>
      <c r="E172" s="49" t="s">
        <v>490</v>
      </c>
      <c r="F172" s="2" t="s">
        <v>72</v>
      </c>
      <c r="G172" s="2" t="s">
        <v>102</v>
      </c>
      <c r="H172" s="2" t="s">
        <v>90</v>
      </c>
      <c r="I172" s="2"/>
      <c r="J172" s="2">
        <v>1</v>
      </c>
      <c r="K172" s="2"/>
      <c r="M172" s="2"/>
    </row>
    <row r="173" spans="2:13">
      <c r="B173" s="2">
        <v>52</v>
      </c>
      <c r="C173" s="2" t="s">
        <v>1</v>
      </c>
      <c r="D173" s="2" t="s">
        <v>64</v>
      </c>
      <c r="E173" s="49" t="s">
        <v>490</v>
      </c>
      <c r="F173" s="2" t="s">
        <v>72</v>
      </c>
      <c r="G173" s="2" t="s">
        <v>102</v>
      </c>
      <c r="H173" s="2" t="s">
        <v>91</v>
      </c>
      <c r="I173" s="2"/>
      <c r="J173" s="2">
        <v>2</v>
      </c>
      <c r="K173" s="2"/>
      <c r="M173" s="2"/>
    </row>
    <row r="174" spans="2:13">
      <c r="B174" s="2">
        <v>53</v>
      </c>
      <c r="C174" s="2" t="s">
        <v>48</v>
      </c>
      <c r="D174" s="2" t="s">
        <v>64</v>
      </c>
      <c r="E174" s="49" t="s">
        <v>490</v>
      </c>
      <c r="F174" s="2" t="s">
        <v>72</v>
      </c>
      <c r="G174" s="2"/>
      <c r="H174" s="2" t="s">
        <v>20</v>
      </c>
      <c r="I174" s="2"/>
      <c r="J174" s="2">
        <v>1</v>
      </c>
      <c r="K174" s="2"/>
      <c r="M174" s="2"/>
    </row>
    <row r="175" spans="2:13">
      <c r="B175" s="2">
        <v>53</v>
      </c>
      <c r="C175" s="2" t="s">
        <v>1</v>
      </c>
      <c r="D175" s="2" t="s">
        <v>64</v>
      </c>
      <c r="E175" s="49" t="s">
        <v>490</v>
      </c>
      <c r="F175" s="2" t="s">
        <v>72</v>
      </c>
      <c r="G175" s="2" t="s">
        <v>102</v>
      </c>
      <c r="H175" s="2" t="s">
        <v>91</v>
      </c>
      <c r="I175" s="2"/>
      <c r="J175" s="2">
        <v>1</v>
      </c>
      <c r="K175" s="2"/>
      <c r="M175" s="2"/>
    </row>
    <row r="176" spans="2:13">
      <c r="B176" s="2">
        <v>54</v>
      </c>
      <c r="C176" s="2" t="s">
        <v>1</v>
      </c>
      <c r="D176" s="2" t="s">
        <v>53</v>
      </c>
      <c r="E176" s="49" t="s">
        <v>490</v>
      </c>
      <c r="F176" s="2" t="s">
        <v>72</v>
      </c>
      <c r="G176" s="2" t="s">
        <v>102</v>
      </c>
      <c r="H176" s="2" t="s">
        <v>82</v>
      </c>
      <c r="I176" s="2"/>
      <c r="J176" s="2">
        <v>1</v>
      </c>
      <c r="K176" s="2"/>
      <c r="M176" s="2"/>
    </row>
    <row r="177" spans="2:13">
      <c r="B177" s="2">
        <v>54</v>
      </c>
      <c r="C177" s="2" t="s">
        <v>1</v>
      </c>
      <c r="D177" s="2" t="s">
        <v>53</v>
      </c>
      <c r="E177" s="49" t="s">
        <v>490</v>
      </c>
      <c r="F177" s="2" t="s">
        <v>72</v>
      </c>
      <c r="G177" s="2" t="s">
        <v>102</v>
      </c>
      <c r="H177" s="2" t="s">
        <v>85</v>
      </c>
      <c r="I177" s="2"/>
      <c r="J177" s="2">
        <v>1</v>
      </c>
      <c r="K177" s="2"/>
      <c r="M177" s="2"/>
    </row>
    <row r="178" spans="2:13">
      <c r="B178" s="2">
        <v>54</v>
      </c>
      <c r="C178" s="2" t="s">
        <v>1</v>
      </c>
      <c r="D178" s="2" t="s">
        <v>53</v>
      </c>
      <c r="E178" s="49" t="s">
        <v>490</v>
      </c>
      <c r="F178" s="2" t="s">
        <v>72</v>
      </c>
      <c r="G178" s="2" t="s">
        <v>103</v>
      </c>
      <c r="H178" s="2" t="s">
        <v>89</v>
      </c>
      <c r="I178" s="2"/>
      <c r="J178" s="2">
        <v>1</v>
      </c>
      <c r="K178" s="2"/>
      <c r="M178" s="2"/>
    </row>
    <row r="179" spans="2:13">
      <c r="B179" s="2">
        <v>54</v>
      </c>
      <c r="C179" s="2" t="s">
        <v>1</v>
      </c>
      <c r="D179" s="2" t="s">
        <v>53</v>
      </c>
      <c r="E179" s="49" t="s">
        <v>490</v>
      </c>
      <c r="F179" s="2" t="s">
        <v>72</v>
      </c>
      <c r="G179" s="2" t="s">
        <v>103</v>
      </c>
      <c r="H179" s="2" t="s">
        <v>90</v>
      </c>
      <c r="I179" s="2"/>
      <c r="J179" s="2">
        <v>2</v>
      </c>
      <c r="K179" s="2"/>
      <c r="M179" s="2"/>
    </row>
    <row r="180" spans="2:13">
      <c r="B180" s="2">
        <v>54</v>
      </c>
      <c r="C180" s="2" t="s">
        <v>1</v>
      </c>
      <c r="D180" s="2" t="s">
        <v>53</v>
      </c>
      <c r="E180" s="49" t="s">
        <v>490</v>
      </c>
      <c r="F180" s="2" t="s">
        <v>72</v>
      </c>
      <c r="G180" s="2" t="s">
        <v>102</v>
      </c>
      <c r="H180" s="2" t="s">
        <v>91</v>
      </c>
      <c r="I180" s="2"/>
      <c r="J180" s="2">
        <v>1</v>
      </c>
      <c r="K180" s="2"/>
      <c r="M180" s="2"/>
    </row>
    <row r="181" spans="2:13">
      <c r="B181" s="2">
        <v>55</v>
      </c>
      <c r="C181" s="2" t="s">
        <v>1</v>
      </c>
      <c r="D181" s="2" t="s">
        <v>57</v>
      </c>
      <c r="E181" s="49" t="s">
        <v>490</v>
      </c>
      <c r="F181" s="2" t="s">
        <v>15</v>
      </c>
      <c r="G181" s="2" t="s">
        <v>102</v>
      </c>
      <c r="H181" s="2" t="s">
        <v>84</v>
      </c>
      <c r="I181" s="2"/>
      <c r="J181" s="2">
        <v>10</v>
      </c>
      <c r="K181" s="2"/>
      <c r="M181" s="2"/>
    </row>
    <row r="182" spans="2:13">
      <c r="B182" s="2">
        <v>55</v>
      </c>
      <c r="C182" s="2" t="s">
        <v>1</v>
      </c>
      <c r="D182" s="2" t="s">
        <v>57</v>
      </c>
      <c r="E182" s="49" t="s">
        <v>490</v>
      </c>
      <c r="F182" s="2" t="s">
        <v>15</v>
      </c>
      <c r="G182" s="2" t="s">
        <v>102</v>
      </c>
      <c r="H182" s="2" t="s">
        <v>85</v>
      </c>
      <c r="I182" s="2"/>
      <c r="J182" s="2">
        <v>7</v>
      </c>
      <c r="K182" s="2"/>
      <c r="M182" s="2"/>
    </row>
    <row r="183" spans="2:13">
      <c r="B183" s="2">
        <v>55</v>
      </c>
      <c r="C183" s="2" t="s">
        <v>1</v>
      </c>
      <c r="D183" s="2" t="s">
        <v>57</v>
      </c>
      <c r="E183" s="49" t="s">
        <v>490</v>
      </c>
      <c r="F183" s="2" t="s">
        <v>15</v>
      </c>
      <c r="G183" s="2" t="s">
        <v>102</v>
      </c>
      <c r="H183" s="2" t="s">
        <v>86</v>
      </c>
      <c r="I183" s="2"/>
      <c r="J183" s="2">
        <v>5</v>
      </c>
      <c r="K183" s="2"/>
      <c r="M183" s="2"/>
    </row>
    <row r="184" spans="2:13">
      <c r="B184" s="2">
        <v>55</v>
      </c>
      <c r="C184" s="2" t="s">
        <v>1</v>
      </c>
      <c r="D184" s="2" t="s">
        <v>57</v>
      </c>
      <c r="E184" s="49" t="s">
        <v>490</v>
      </c>
      <c r="F184" s="2" t="s">
        <v>15</v>
      </c>
      <c r="G184" s="2" t="s">
        <v>103</v>
      </c>
      <c r="H184" s="2" t="s">
        <v>89</v>
      </c>
      <c r="I184" s="2"/>
      <c r="J184" s="2">
        <v>1</v>
      </c>
      <c r="K184" s="2"/>
      <c r="M184" s="2"/>
    </row>
    <row r="185" spans="2:13">
      <c r="B185" s="2">
        <v>55</v>
      </c>
      <c r="C185" s="2" t="s">
        <v>1</v>
      </c>
      <c r="D185" s="2" t="s">
        <v>57</v>
      </c>
      <c r="E185" s="49" t="s">
        <v>490</v>
      </c>
      <c r="F185" s="2" t="s">
        <v>15</v>
      </c>
      <c r="G185" s="2" t="s">
        <v>103</v>
      </c>
      <c r="H185" s="2" t="s">
        <v>90</v>
      </c>
      <c r="I185" s="2"/>
      <c r="J185" s="2">
        <v>3</v>
      </c>
      <c r="K185" s="2"/>
      <c r="M185" s="2"/>
    </row>
    <row r="186" spans="2:13">
      <c r="B186" s="2">
        <v>55</v>
      </c>
      <c r="C186" s="2" t="s">
        <v>1</v>
      </c>
      <c r="D186" s="2" t="s">
        <v>57</v>
      </c>
      <c r="E186" s="49" t="s">
        <v>490</v>
      </c>
      <c r="F186" s="2" t="s">
        <v>15</v>
      </c>
      <c r="G186" s="2" t="s">
        <v>103</v>
      </c>
      <c r="H186" s="2" t="s">
        <v>91</v>
      </c>
      <c r="I186" s="2"/>
      <c r="J186" s="2">
        <v>4</v>
      </c>
      <c r="K186" s="2"/>
      <c r="M186" s="2"/>
    </row>
    <row r="187" spans="2:13">
      <c r="B187" s="2">
        <v>55</v>
      </c>
      <c r="C187" s="2" t="s">
        <v>1</v>
      </c>
      <c r="D187" s="2" t="s">
        <v>57</v>
      </c>
      <c r="E187" s="49" t="s">
        <v>490</v>
      </c>
      <c r="F187" s="2" t="s">
        <v>15</v>
      </c>
      <c r="G187" s="2" t="s">
        <v>102</v>
      </c>
      <c r="H187" s="2" t="s">
        <v>90</v>
      </c>
      <c r="I187" s="2"/>
      <c r="J187" s="2">
        <v>6</v>
      </c>
      <c r="K187" s="2"/>
      <c r="M187" s="2"/>
    </row>
    <row r="188" spans="2:13">
      <c r="B188" s="2">
        <v>55</v>
      </c>
      <c r="C188" s="2" t="s">
        <v>1</v>
      </c>
      <c r="D188" s="2" t="s">
        <v>57</v>
      </c>
      <c r="E188" s="49" t="s">
        <v>490</v>
      </c>
      <c r="F188" s="2" t="s">
        <v>15</v>
      </c>
      <c r="G188" s="2" t="s">
        <v>102</v>
      </c>
      <c r="H188" s="2" t="s">
        <v>91</v>
      </c>
      <c r="I188" s="2"/>
      <c r="J188" s="2">
        <v>8</v>
      </c>
      <c r="K188" s="2"/>
      <c r="M188" s="2"/>
    </row>
    <row r="189" spans="2:13">
      <c r="B189" s="2">
        <v>55</v>
      </c>
      <c r="C189" s="2" t="s">
        <v>1</v>
      </c>
      <c r="D189" s="2" t="s">
        <v>57</v>
      </c>
      <c r="E189" s="49" t="s">
        <v>490</v>
      </c>
      <c r="F189" s="2" t="s">
        <v>15</v>
      </c>
      <c r="G189" s="2" t="s">
        <v>102</v>
      </c>
      <c r="H189" s="2" t="s">
        <v>92</v>
      </c>
      <c r="I189" s="2"/>
      <c r="J189" s="2">
        <v>2</v>
      </c>
      <c r="K189" s="2"/>
      <c r="M189" s="2"/>
    </row>
    <row r="190" spans="2:13">
      <c r="B190" s="2">
        <v>56</v>
      </c>
      <c r="C190" s="2" t="s">
        <v>1</v>
      </c>
      <c r="D190" s="2" t="s">
        <v>492</v>
      </c>
      <c r="E190" s="49" t="s">
        <v>490</v>
      </c>
      <c r="F190" s="2" t="s">
        <v>71</v>
      </c>
      <c r="G190" s="2" t="s">
        <v>103</v>
      </c>
      <c r="H190" s="2" t="s">
        <v>89</v>
      </c>
      <c r="I190" s="2"/>
      <c r="J190" s="2">
        <v>1</v>
      </c>
      <c r="K190" s="2"/>
      <c r="M190" s="2"/>
    </row>
    <row r="191" spans="2:13">
      <c r="B191" s="2">
        <v>56</v>
      </c>
      <c r="C191" s="2" t="s">
        <v>1</v>
      </c>
      <c r="D191" s="2" t="s">
        <v>492</v>
      </c>
      <c r="E191" s="49" t="s">
        <v>490</v>
      </c>
      <c r="F191" s="2" t="s">
        <v>71</v>
      </c>
      <c r="G191" s="2" t="s">
        <v>103</v>
      </c>
      <c r="H191" s="2" t="s">
        <v>91</v>
      </c>
      <c r="I191" s="2"/>
      <c r="J191" s="2">
        <v>2</v>
      </c>
      <c r="K191" s="2"/>
      <c r="M191" s="2"/>
    </row>
    <row r="192" spans="2:13">
      <c r="B192" s="2">
        <v>57</v>
      </c>
      <c r="C192" s="2" t="s">
        <v>1</v>
      </c>
      <c r="D192" s="2" t="s">
        <v>492</v>
      </c>
      <c r="E192" s="49" t="s">
        <v>490</v>
      </c>
      <c r="F192" s="2" t="s">
        <v>68</v>
      </c>
      <c r="G192" s="2" t="s">
        <v>103</v>
      </c>
      <c r="H192" s="2" t="s">
        <v>89</v>
      </c>
      <c r="I192" s="2"/>
      <c r="J192" s="2">
        <v>1</v>
      </c>
      <c r="K192" s="2"/>
      <c r="M192" s="2"/>
    </row>
    <row r="193" spans="2:13">
      <c r="B193" s="2">
        <v>57</v>
      </c>
      <c r="C193" s="2" t="s">
        <v>1</v>
      </c>
      <c r="D193" s="2" t="s">
        <v>492</v>
      </c>
      <c r="E193" s="49" t="s">
        <v>490</v>
      </c>
      <c r="F193" s="2" t="s">
        <v>68</v>
      </c>
      <c r="G193" s="2" t="s">
        <v>103</v>
      </c>
      <c r="H193" s="2" t="s">
        <v>90</v>
      </c>
      <c r="I193" s="2"/>
      <c r="J193" s="2">
        <v>1</v>
      </c>
      <c r="K193" s="2"/>
      <c r="M193" s="2"/>
    </row>
    <row r="194" spans="2:13">
      <c r="B194" s="2">
        <v>57</v>
      </c>
      <c r="C194" s="2" t="s">
        <v>1</v>
      </c>
      <c r="D194" s="2" t="s">
        <v>492</v>
      </c>
      <c r="E194" s="49" t="s">
        <v>490</v>
      </c>
      <c r="F194" s="2" t="s">
        <v>68</v>
      </c>
      <c r="G194" s="2" t="s">
        <v>103</v>
      </c>
      <c r="H194" s="2" t="s">
        <v>91</v>
      </c>
      <c r="I194" s="2"/>
      <c r="J194" s="2">
        <v>2</v>
      </c>
      <c r="K194" s="2"/>
      <c r="M194" s="2"/>
    </row>
    <row r="195" spans="2:13">
      <c r="B195" s="2">
        <v>58</v>
      </c>
      <c r="C195" s="2" t="s">
        <v>1</v>
      </c>
      <c r="D195" s="2" t="s">
        <v>492</v>
      </c>
      <c r="E195" s="49" t="s">
        <v>490</v>
      </c>
      <c r="F195" s="2" t="s">
        <v>15</v>
      </c>
      <c r="G195" s="2" t="s">
        <v>103</v>
      </c>
      <c r="H195" s="2" t="s">
        <v>89</v>
      </c>
      <c r="I195" s="2"/>
      <c r="J195" s="2">
        <v>1</v>
      </c>
      <c r="K195" s="2"/>
      <c r="M195" s="2"/>
    </row>
    <row r="196" spans="2:13">
      <c r="B196" s="2">
        <v>58</v>
      </c>
      <c r="C196" s="2" t="s">
        <v>1</v>
      </c>
      <c r="D196" s="2" t="s">
        <v>492</v>
      </c>
      <c r="E196" s="49" t="s">
        <v>490</v>
      </c>
      <c r="F196" s="2" t="s">
        <v>71</v>
      </c>
      <c r="G196" s="2" t="s">
        <v>103</v>
      </c>
      <c r="H196" s="2" t="s">
        <v>89</v>
      </c>
      <c r="I196" s="2"/>
      <c r="J196" s="2">
        <v>1</v>
      </c>
      <c r="K196" s="2"/>
      <c r="M196" s="2"/>
    </row>
    <row r="197" spans="2:13">
      <c r="B197" s="2">
        <v>58</v>
      </c>
      <c r="C197" s="2" t="s">
        <v>1</v>
      </c>
      <c r="D197" s="2" t="s">
        <v>492</v>
      </c>
      <c r="E197" s="49" t="s">
        <v>490</v>
      </c>
      <c r="F197" s="2" t="s">
        <v>74</v>
      </c>
      <c r="G197" s="2" t="s">
        <v>103</v>
      </c>
      <c r="H197" s="2" t="s">
        <v>90</v>
      </c>
      <c r="I197" s="2"/>
      <c r="J197" s="2">
        <v>1</v>
      </c>
      <c r="K197" s="2"/>
      <c r="M197" s="2"/>
    </row>
    <row r="198" spans="2:13">
      <c r="B198" s="2">
        <v>58</v>
      </c>
      <c r="C198" s="2" t="s">
        <v>1</v>
      </c>
      <c r="D198" s="2" t="s">
        <v>492</v>
      </c>
      <c r="E198" s="49" t="s">
        <v>490</v>
      </c>
      <c r="F198" s="2" t="s">
        <v>15</v>
      </c>
      <c r="G198" s="2" t="s">
        <v>102</v>
      </c>
      <c r="H198" s="2" t="s">
        <v>89</v>
      </c>
      <c r="I198" s="2"/>
      <c r="J198" s="2">
        <v>1</v>
      </c>
      <c r="K198" s="2"/>
      <c r="M198" s="2"/>
    </row>
    <row r="199" spans="2:13">
      <c r="B199" s="2">
        <v>58</v>
      </c>
      <c r="C199" s="2" t="s">
        <v>1</v>
      </c>
      <c r="D199" s="2" t="s">
        <v>492</v>
      </c>
      <c r="E199" s="49" t="s">
        <v>490</v>
      </c>
      <c r="F199" s="2" t="s">
        <v>15</v>
      </c>
      <c r="G199" s="2" t="s">
        <v>102</v>
      </c>
      <c r="H199" s="2" t="s">
        <v>90</v>
      </c>
      <c r="I199" s="2"/>
      <c r="J199" s="2">
        <v>1</v>
      </c>
      <c r="K199" s="2"/>
      <c r="M199" s="2"/>
    </row>
    <row r="200" spans="2:13">
      <c r="B200" s="2">
        <v>59</v>
      </c>
      <c r="C200" s="2" t="s">
        <v>1</v>
      </c>
      <c r="D200" s="2" t="s">
        <v>492</v>
      </c>
      <c r="E200" s="49" t="s">
        <v>490</v>
      </c>
      <c r="F200" s="2" t="s">
        <v>70</v>
      </c>
      <c r="G200" s="2" t="s">
        <v>103</v>
      </c>
      <c r="H200" s="2" t="s">
        <v>91</v>
      </c>
      <c r="I200" s="2"/>
      <c r="J200" s="2">
        <v>1</v>
      </c>
      <c r="K200" s="2"/>
      <c r="M200" s="2"/>
    </row>
    <row r="201" spans="2:13">
      <c r="B201" s="2">
        <v>59</v>
      </c>
      <c r="C201" s="2" t="s">
        <v>1</v>
      </c>
      <c r="D201" s="2" t="s">
        <v>492</v>
      </c>
      <c r="E201" s="49" t="s">
        <v>490</v>
      </c>
      <c r="F201" s="2" t="s">
        <v>75</v>
      </c>
      <c r="G201" s="2" t="s">
        <v>103</v>
      </c>
      <c r="H201" s="2" t="s">
        <v>91</v>
      </c>
      <c r="I201" s="2"/>
      <c r="J201" s="2">
        <v>1</v>
      </c>
      <c r="K201" s="2"/>
      <c r="M201" s="2"/>
    </row>
    <row r="202" spans="2:13">
      <c r="B202" s="2">
        <v>59</v>
      </c>
      <c r="C202" s="2" t="s">
        <v>1</v>
      </c>
      <c r="D202" s="2" t="s">
        <v>492</v>
      </c>
      <c r="E202" s="49" t="s">
        <v>490</v>
      </c>
      <c r="F202" s="2" t="s">
        <v>495</v>
      </c>
      <c r="G202" s="2" t="s">
        <v>103</v>
      </c>
      <c r="H202" s="2" t="s">
        <v>91</v>
      </c>
      <c r="I202" s="2"/>
      <c r="J202" s="2">
        <v>1</v>
      </c>
      <c r="K202" s="2"/>
      <c r="M202" s="2"/>
    </row>
    <row r="203" spans="2:13">
      <c r="B203" s="2">
        <v>60</v>
      </c>
      <c r="C203" s="2" t="s">
        <v>1</v>
      </c>
      <c r="D203" s="2" t="s">
        <v>492</v>
      </c>
      <c r="E203" s="49" t="s">
        <v>490</v>
      </c>
      <c r="F203" s="2" t="s">
        <v>72</v>
      </c>
      <c r="G203" s="2" t="s">
        <v>103</v>
      </c>
      <c r="H203" s="2" t="s">
        <v>89</v>
      </c>
      <c r="I203" s="2"/>
      <c r="J203" s="2">
        <v>1</v>
      </c>
      <c r="K203" s="2"/>
      <c r="M203" s="2"/>
    </row>
    <row r="204" spans="2:13">
      <c r="B204" s="2">
        <v>60</v>
      </c>
      <c r="C204" s="2" t="s">
        <v>1</v>
      </c>
      <c r="D204" s="2" t="s">
        <v>492</v>
      </c>
      <c r="E204" s="49" t="s">
        <v>490</v>
      </c>
      <c r="F204" s="2" t="s">
        <v>68</v>
      </c>
      <c r="G204" s="2" t="s">
        <v>103</v>
      </c>
      <c r="H204" s="2" t="s">
        <v>89</v>
      </c>
      <c r="I204" s="2"/>
      <c r="J204" s="2">
        <v>1</v>
      </c>
      <c r="K204" s="2"/>
      <c r="M204" s="2"/>
    </row>
    <row r="205" spans="2:13">
      <c r="B205" s="2">
        <v>60</v>
      </c>
      <c r="C205" s="2" t="s">
        <v>1</v>
      </c>
      <c r="D205" s="2" t="s">
        <v>492</v>
      </c>
      <c r="E205" s="49" t="s">
        <v>490</v>
      </c>
      <c r="F205" s="2" t="s">
        <v>68</v>
      </c>
      <c r="G205" s="2" t="s">
        <v>102</v>
      </c>
      <c r="H205" s="2" t="s">
        <v>89</v>
      </c>
      <c r="I205" s="2"/>
      <c r="J205" s="2">
        <v>1</v>
      </c>
      <c r="K205" s="2"/>
      <c r="M205" s="2"/>
    </row>
    <row r="206" spans="2:13">
      <c r="B206" s="2">
        <v>61</v>
      </c>
      <c r="C206" s="2" t="s">
        <v>1</v>
      </c>
      <c r="D206" s="2" t="s">
        <v>492</v>
      </c>
      <c r="E206" s="49" t="s">
        <v>491</v>
      </c>
      <c r="F206" s="2" t="s">
        <v>15</v>
      </c>
      <c r="G206" s="2" t="s">
        <v>103</v>
      </c>
      <c r="H206" s="2" t="s">
        <v>89</v>
      </c>
      <c r="I206" s="2"/>
      <c r="J206" s="2">
        <v>2</v>
      </c>
      <c r="K206" s="2"/>
      <c r="M206" s="2"/>
    </row>
    <row r="207" spans="2:13">
      <c r="B207" s="2">
        <v>61</v>
      </c>
      <c r="C207" s="2" t="s">
        <v>1</v>
      </c>
      <c r="D207" s="2" t="s">
        <v>492</v>
      </c>
      <c r="E207" s="49" t="s">
        <v>491</v>
      </c>
      <c r="F207" s="2" t="s">
        <v>15</v>
      </c>
      <c r="G207" s="2" t="s">
        <v>103</v>
      </c>
      <c r="H207" s="2" t="s">
        <v>90</v>
      </c>
      <c r="I207" s="2"/>
      <c r="J207" s="2">
        <v>2</v>
      </c>
      <c r="K207" s="2"/>
      <c r="M207" s="2"/>
    </row>
    <row r="208" spans="2:13">
      <c r="B208" s="2">
        <v>62</v>
      </c>
      <c r="C208" s="2" t="s">
        <v>1</v>
      </c>
      <c r="D208" s="2" t="s">
        <v>492</v>
      </c>
      <c r="E208" s="49" t="s">
        <v>491</v>
      </c>
      <c r="F208" s="2" t="s">
        <v>15</v>
      </c>
      <c r="G208" s="2" t="s">
        <v>103</v>
      </c>
      <c r="H208" s="2" t="s">
        <v>89</v>
      </c>
      <c r="I208" s="2"/>
      <c r="J208" s="2">
        <v>1</v>
      </c>
      <c r="K208" s="2"/>
      <c r="M208" s="2"/>
    </row>
    <row r="209" spans="2:13">
      <c r="B209" s="2">
        <v>62</v>
      </c>
      <c r="C209" s="2" t="s">
        <v>1</v>
      </c>
      <c r="D209" s="2" t="s">
        <v>492</v>
      </c>
      <c r="E209" s="49" t="s">
        <v>491</v>
      </c>
      <c r="F209" s="2" t="s">
        <v>72</v>
      </c>
      <c r="G209" s="2" t="s">
        <v>103</v>
      </c>
      <c r="H209" s="2" t="s">
        <v>89</v>
      </c>
      <c r="I209" s="2"/>
      <c r="J209" s="2">
        <v>2</v>
      </c>
      <c r="K209" s="2"/>
      <c r="M209" s="2"/>
    </row>
    <row r="210" spans="2:13">
      <c r="B210" s="2">
        <v>62</v>
      </c>
      <c r="C210" s="2" t="s">
        <v>1</v>
      </c>
      <c r="D210" s="2" t="s">
        <v>492</v>
      </c>
      <c r="E210" s="49" t="s">
        <v>491</v>
      </c>
      <c r="F210" s="2" t="s">
        <v>15</v>
      </c>
      <c r="G210" s="2" t="s">
        <v>103</v>
      </c>
      <c r="H210" s="2" t="s">
        <v>90</v>
      </c>
      <c r="I210" s="2"/>
      <c r="J210" s="2">
        <v>1</v>
      </c>
      <c r="K210" s="2"/>
      <c r="M210" s="2"/>
    </row>
    <row r="211" spans="2:13">
      <c r="B211" s="2">
        <v>62</v>
      </c>
      <c r="C211" s="2" t="s">
        <v>1</v>
      </c>
      <c r="D211" s="2" t="s">
        <v>492</v>
      </c>
      <c r="E211" s="49" t="s">
        <v>491</v>
      </c>
      <c r="F211" s="2" t="s">
        <v>15</v>
      </c>
      <c r="G211" s="2" t="s">
        <v>103</v>
      </c>
      <c r="H211" s="2" t="s">
        <v>91</v>
      </c>
      <c r="I211" s="2"/>
      <c r="J211" s="2">
        <v>1</v>
      </c>
      <c r="K211" s="2"/>
      <c r="M211" s="2"/>
    </row>
    <row r="212" spans="2:13">
      <c r="B212" s="2">
        <v>62</v>
      </c>
      <c r="C212" s="2" t="s">
        <v>1</v>
      </c>
      <c r="D212" s="2" t="s">
        <v>492</v>
      </c>
      <c r="E212" s="49" t="s">
        <v>491</v>
      </c>
      <c r="F212" s="2" t="s">
        <v>74</v>
      </c>
      <c r="G212" s="2" t="s">
        <v>103</v>
      </c>
      <c r="H212" s="2" t="s">
        <v>90</v>
      </c>
      <c r="I212" s="2"/>
      <c r="J212" s="2">
        <v>1</v>
      </c>
      <c r="K212" s="2"/>
      <c r="M212" s="2"/>
    </row>
    <row r="213" spans="2:13">
      <c r="B213" s="2">
        <v>63</v>
      </c>
      <c r="C213" s="2" t="s">
        <v>1</v>
      </c>
      <c r="D213" s="2" t="s">
        <v>492</v>
      </c>
      <c r="E213" s="49" t="s">
        <v>490</v>
      </c>
      <c r="F213" s="2" t="s">
        <v>70</v>
      </c>
      <c r="G213" s="2" t="s">
        <v>103</v>
      </c>
      <c r="H213" s="2" t="s">
        <v>90</v>
      </c>
      <c r="I213" s="2"/>
      <c r="J213" s="2">
        <v>2</v>
      </c>
      <c r="K213" s="2"/>
      <c r="M213" s="2"/>
    </row>
    <row r="214" spans="2:13">
      <c r="B214" s="2">
        <v>63</v>
      </c>
      <c r="C214" s="2" t="s">
        <v>1</v>
      </c>
      <c r="D214" s="2" t="s">
        <v>492</v>
      </c>
      <c r="E214" s="49" t="s">
        <v>490</v>
      </c>
      <c r="F214" s="2" t="s">
        <v>70</v>
      </c>
      <c r="G214" s="2" t="s">
        <v>103</v>
      </c>
      <c r="H214" s="2" t="s">
        <v>91</v>
      </c>
      <c r="I214" s="2"/>
      <c r="J214" s="2">
        <v>1</v>
      </c>
      <c r="K214" s="2"/>
      <c r="M214" s="2"/>
    </row>
    <row r="215" spans="2:13">
      <c r="B215" s="2">
        <v>64</v>
      </c>
      <c r="C215" s="2" t="s">
        <v>1</v>
      </c>
      <c r="D215" s="2" t="s">
        <v>492</v>
      </c>
      <c r="E215" s="49" t="s">
        <v>490</v>
      </c>
      <c r="F215" s="2" t="s">
        <v>15</v>
      </c>
      <c r="G215" s="2" t="s">
        <v>103</v>
      </c>
      <c r="H215" s="2" t="s">
        <v>90</v>
      </c>
      <c r="I215" s="2"/>
      <c r="J215" s="2">
        <v>1</v>
      </c>
      <c r="K215" s="2"/>
      <c r="M215" s="2"/>
    </row>
    <row r="216" spans="2:13">
      <c r="B216" s="2">
        <v>64</v>
      </c>
      <c r="C216" s="2" t="s">
        <v>1</v>
      </c>
      <c r="D216" s="2" t="s">
        <v>492</v>
      </c>
      <c r="E216" s="49" t="s">
        <v>490</v>
      </c>
      <c r="F216" s="2" t="s">
        <v>15</v>
      </c>
      <c r="G216" s="2" t="s">
        <v>103</v>
      </c>
      <c r="H216" s="2" t="s">
        <v>91</v>
      </c>
      <c r="I216" s="2"/>
      <c r="J216" s="2">
        <v>2</v>
      </c>
      <c r="K216" s="2"/>
      <c r="M216" s="2"/>
    </row>
    <row r="217" spans="2:13">
      <c r="B217" s="2">
        <v>65</v>
      </c>
      <c r="C217" s="2" t="s">
        <v>1</v>
      </c>
      <c r="D217" s="2" t="s">
        <v>492</v>
      </c>
      <c r="E217" s="49" t="s">
        <v>490</v>
      </c>
      <c r="F217" s="2" t="s">
        <v>15</v>
      </c>
      <c r="G217" s="2" t="s">
        <v>103</v>
      </c>
      <c r="H217" s="2" t="s">
        <v>91</v>
      </c>
      <c r="I217" s="2"/>
      <c r="J217" s="2">
        <v>1</v>
      </c>
      <c r="K217" s="2"/>
      <c r="M217" s="2"/>
    </row>
    <row r="218" spans="2:13">
      <c r="B218" s="2">
        <v>65</v>
      </c>
      <c r="C218" s="2" t="s">
        <v>1</v>
      </c>
      <c r="D218" s="2" t="s">
        <v>492</v>
      </c>
      <c r="E218" s="49" t="s">
        <v>490</v>
      </c>
      <c r="F218" s="2" t="s">
        <v>72</v>
      </c>
      <c r="G218" s="2" t="s">
        <v>103</v>
      </c>
      <c r="H218" s="2" t="s">
        <v>91</v>
      </c>
      <c r="I218" s="2"/>
      <c r="J218" s="2">
        <v>1</v>
      </c>
      <c r="K218" s="2"/>
      <c r="M218" s="2"/>
    </row>
    <row r="219" spans="2:13">
      <c r="B219" s="2">
        <v>65</v>
      </c>
      <c r="C219" s="2" t="s">
        <v>1</v>
      </c>
      <c r="D219" s="2" t="s">
        <v>53</v>
      </c>
      <c r="E219" s="49" t="s">
        <v>490</v>
      </c>
      <c r="F219" s="2" t="s">
        <v>72</v>
      </c>
      <c r="G219" s="2" t="s">
        <v>102</v>
      </c>
      <c r="H219" s="2" t="s">
        <v>91</v>
      </c>
      <c r="I219" s="2"/>
      <c r="J219" s="2">
        <v>1</v>
      </c>
      <c r="K219" s="2"/>
      <c r="M219" s="2"/>
    </row>
    <row r="220" spans="2:13">
      <c r="B220" s="2">
        <v>66</v>
      </c>
      <c r="C220" s="2" t="s">
        <v>1</v>
      </c>
      <c r="D220" s="2" t="s">
        <v>492</v>
      </c>
      <c r="E220" s="49" t="s">
        <v>491</v>
      </c>
      <c r="F220" s="2" t="s">
        <v>74</v>
      </c>
      <c r="G220" s="2" t="s">
        <v>103</v>
      </c>
      <c r="H220" s="2" t="s">
        <v>90</v>
      </c>
      <c r="I220" s="2"/>
      <c r="J220" s="2">
        <v>2</v>
      </c>
      <c r="K220" s="2"/>
      <c r="M220" s="2"/>
    </row>
    <row r="221" spans="2:13">
      <c r="B221" s="2">
        <v>66</v>
      </c>
      <c r="C221" s="2" t="s">
        <v>1</v>
      </c>
      <c r="D221" s="2" t="s">
        <v>492</v>
      </c>
      <c r="E221" s="49" t="s">
        <v>491</v>
      </c>
      <c r="F221" s="2" t="s">
        <v>74</v>
      </c>
      <c r="G221" s="2" t="s">
        <v>103</v>
      </c>
      <c r="H221" s="2" t="s">
        <v>91</v>
      </c>
      <c r="I221" s="2"/>
      <c r="J221" s="2">
        <v>1</v>
      </c>
      <c r="K221" s="2"/>
      <c r="M221" s="2"/>
    </row>
    <row r="222" spans="2:13">
      <c r="B222" s="2">
        <v>67</v>
      </c>
      <c r="C222" s="2" t="s">
        <v>1</v>
      </c>
      <c r="D222" s="2" t="s">
        <v>492</v>
      </c>
      <c r="E222" s="49" t="s">
        <v>490</v>
      </c>
      <c r="F222" s="2" t="s">
        <v>68</v>
      </c>
      <c r="G222" s="2" t="s">
        <v>103</v>
      </c>
      <c r="H222" s="2" t="s">
        <v>89</v>
      </c>
      <c r="I222" s="2"/>
      <c r="J222" s="2">
        <v>2</v>
      </c>
      <c r="K222" s="2"/>
      <c r="M222" s="2"/>
    </row>
    <row r="223" spans="2:13">
      <c r="B223" s="2">
        <v>67</v>
      </c>
      <c r="C223" s="2" t="s">
        <v>1</v>
      </c>
      <c r="D223" s="2" t="s">
        <v>492</v>
      </c>
      <c r="E223" s="49" t="s">
        <v>490</v>
      </c>
      <c r="F223" s="2" t="s">
        <v>68</v>
      </c>
      <c r="G223" s="2" t="s">
        <v>103</v>
      </c>
      <c r="H223" s="2" t="s">
        <v>90</v>
      </c>
      <c r="I223" s="2"/>
      <c r="J223" s="2">
        <v>2</v>
      </c>
      <c r="K223" s="2"/>
      <c r="M223" s="2"/>
    </row>
    <row r="224" spans="2:13">
      <c r="B224" s="2">
        <v>68</v>
      </c>
      <c r="C224" s="2" t="s">
        <v>1</v>
      </c>
      <c r="D224" s="2" t="s">
        <v>492</v>
      </c>
      <c r="E224" s="49" t="s">
        <v>490</v>
      </c>
      <c r="F224" s="2" t="s">
        <v>70</v>
      </c>
      <c r="G224" s="2" t="s">
        <v>103</v>
      </c>
      <c r="H224" s="2" t="s">
        <v>91</v>
      </c>
      <c r="I224" s="2"/>
      <c r="J224" s="2">
        <v>1</v>
      </c>
      <c r="K224" s="2"/>
      <c r="M224" s="2"/>
    </row>
    <row r="225" spans="2:13">
      <c r="B225" s="2">
        <v>68</v>
      </c>
      <c r="C225" s="2" t="s">
        <v>1</v>
      </c>
      <c r="D225" s="2" t="s">
        <v>492</v>
      </c>
      <c r="E225" s="49" t="s">
        <v>490</v>
      </c>
      <c r="F225" s="2" t="s">
        <v>68</v>
      </c>
      <c r="G225" s="2" t="s">
        <v>103</v>
      </c>
      <c r="H225" s="2" t="s">
        <v>91</v>
      </c>
      <c r="I225" s="2"/>
      <c r="J225" s="2">
        <v>1</v>
      </c>
      <c r="K225" s="2"/>
      <c r="M225" s="2"/>
    </row>
    <row r="226" spans="2:13">
      <c r="B226" s="2">
        <v>68</v>
      </c>
      <c r="C226" s="2" t="s">
        <v>1</v>
      </c>
      <c r="D226" s="2" t="s">
        <v>492</v>
      </c>
      <c r="E226" s="49" t="s">
        <v>490</v>
      </c>
      <c r="F226" s="2" t="s">
        <v>72</v>
      </c>
      <c r="G226" s="2" t="s">
        <v>103</v>
      </c>
      <c r="H226" s="2" t="s">
        <v>91</v>
      </c>
      <c r="I226" s="2"/>
      <c r="J226" s="2">
        <v>1</v>
      </c>
      <c r="K226" s="2"/>
      <c r="M226" s="2"/>
    </row>
    <row r="227" spans="2:13">
      <c r="B227" s="2">
        <v>69</v>
      </c>
      <c r="C227" s="2" t="s">
        <v>1</v>
      </c>
      <c r="D227" s="2" t="s">
        <v>57</v>
      </c>
      <c r="E227" s="49" t="s">
        <v>490</v>
      </c>
      <c r="F227" s="2" t="s">
        <v>15</v>
      </c>
      <c r="G227" s="2" t="s">
        <v>81</v>
      </c>
      <c r="H227" s="2" t="s">
        <v>83</v>
      </c>
      <c r="I227" s="2"/>
      <c r="J227" s="2">
        <v>1</v>
      </c>
      <c r="K227" s="2"/>
      <c r="M227" s="2"/>
    </row>
    <row r="228" spans="2:13">
      <c r="B228" s="2">
        <v>70</v>
      </c>
      <c r="C228" s="2" t="s">
        <v>1</v>
      </c>
      <c r="D228" s="2" t="s">
        <v>492</v>
      </c>
      <c r="E228" s="49" t="s">
        <v>490</v>
      </c>
      <c r="F228" s="2" t="s">
        <v>74</v>
      </c>
      <c r="G228" s="2" t="s">
        <v>103</v>
      </c>
      <c r="H228" s="2" t="s">
        <v>89</v>
      </c>
      <c r="I228" s="2"/>
      <c r="J228" s="2">
        <v>1</v>
      </c>
      <c r="K228" s="2"/>
      <c r="M228" s="2"/>
    </row>
    <row r="229" spans="2:13">
      <c r="B229" s="2">
        <v>70</v>
      </c>
      <c r="C229" s="2" t="s">
        <v>1</v>
      </c>
      <c r="D229" s="2" t="s">
        <v>492</v>
      </c>
      <c r="E229" s="49" t="s">
        <v>490</v>
      </c>
      <c r="F229" s="2" t="s">
        <v>74</v>
      </c>
      <c r="G229" s="2" t="s">
        <v>103</v>
      </c>
      <c r="H229" s="2" t="s">
        <v>90</v>
      </c>
      <c r="I229" s="2"/>
      <c r="J229" s="2">
        <v>1</v>
      </c>
      <c r="K229" s="2"/>
      <c r="M229" s="2"/>
    </row>
    <row r="230" spans="2:13">
      <c r="B230" s="2">
        <v>70</v>
      </c>
      <c r="C230" s="2" t="s">
        <v>1</v>
      </c>
      <c r="D230" s="2" t="s">
        <v>492</v>
      </c>
      <c r="E230" s="49" t="s">
        <v>490</v>
      </c>
      <c r="F230" s="2" t="s">
        <v>72</v>
      </c>
      <c r="G230" s="2" t="s">
        <v>103</v>
      </c>
      <c r="H230" s="2" t="s">
        <v>89</v>
      </c>
      <c r="I230" s="2"/>
      <c r="J230" s="2">
        <v>1</v>
      </c>
      <c r="K230" s="2"/>
      <c r="M230" s="2"/>
    </row>
    <row r="231" spans="2:13">
      <c r="B231" s="2">
        <v>71</v>
      </c>
      <c r="C231" s="2" t="s">
        <v>1</v>
      </c>
      <c r="D231" s="2" t="s">
        <v>492</v>
      </c>
      <c r="E231" s="49" t="s">
        <v>490</v>
      </c>
      <c r="F231" s="2" t="s">
        <v>70</v>
      </c>
      <c r="G231" s="2" t="s">
        <v>103</v>
      </c>
      <c r="H231" s="2" t="s">
        <v>89</v>
      </c>
      <c r="I231" s="2"/>
      <c r="J231" s="2">
        <v>1</v>
      </c>
      <c r="K231" s="2"/>
      <c r="M231" s="2"/>
    </row>
    <row r="232" spans="2:13">
      <c r="B232" s="2">
        <v>71</v>
      </c>
      <c r="C232" s="2" t="s">
        <v>1</v>
      </c>
      <c r="D232" s="2" t="s">
        <v>492</v>
      </c>
      <c r="E232" s="49" t="s">
        <v>490</v>
      </c>
      <c r="F232" s="2" t="s">
        <v>70</v>
      </c>
      <c r="G232" s="2" t="s">
        <v>103</v>
      </c>
      <c r="H232" s="2" t="s">
        <v>90</v>
      </c>
      <c r="I232" s="2"/>
      <c r="J232" s="2">
        <v>6</v>
      </c>
      <c r="K232" s="2"/>
      <c r="M232" s="2"/>
    </row>
    <row r="233" spans="2:13">
      <c r="B233" s="2">
        <v>71</v>
      </c>
      <c r="C233" s="2" t="s">
        <v>1</v>
      </c>
      <c r="D233" s="2" t="s">
        <v>492</v>
      </c>
      <c r="E233" s="49" t="s">
        <v>490</v>
      </c>
      <c r="F233" s="2" t="s">
        <v>70</v>
      </c>
      <c r="G233" s="2" t="s">
        <v>103</v>
      </c>
      <c r="H233" s="2" t="s">
        <v>91</v>
      </c>
      <c r="I233" s="2"/>
      <c r="J233" s="2">
        <v>7</v>
      </c>
      <c r="K233" s="2"/>
      <c r="M233" s="2"/>
    </row>
    <row r="234" spans="2:13">
      <c r="B234" s="2">
        <v>71</v>
      </c>
      <c r="C234" s="2" t="s">
        <v>1</v>
      </c>
      <c r="D234" s="2" t="s">
        <v>492</v>
      </c>
      <c r="E234" s="49" t="s">
        <v>490</v>
      </c>
      <c r="F234" s="2" t="s">
        <v>70</v>
      </c>
      <c r="G234" s="2" t="s">
        <v>102</v>
      </c>
      <c r="H234" s="2" t="s">
        <v>91</v>
      </c>
      <c r="I234" s="2"/>
      <c r="J234" s="2">
        <v>2</v>
      </c>
      <c r="K234" s="2"/>
      <c r="M234" s="2"/>
    </row>
    <row r="235" spans="2:13">
      <c r="B235" s="2">
        <v>71</v>
      </c>
      <c r="C235" s="2" t="s">
        <v>1</v>
      </c>
      <c r="D235" s="2" t="s">
        <v>492</v>
      </c>
      <c r="E235" s="49" t="s">
        <v>490</v>
      </c>
      <c r="F235" s="2" t="s">
        <v>70</v>
      </c>
      <c r="G235" s="2" t="s">
        <v>103</v>
      </c>
      <c r="H235" s="2" t="s">
        <v>92</v>
      </c>
      <c r="I235" s="2"/>
      <c r="J235" s="2">
        <v>5</v>
      </c>
      <c r="K235" s="2"/>
      <c r="M235" s="2"/>
    </row>
    <row r="236" spans="2:13">
      <c r="B236" s="2">
        <v>71</v>
      </c>
      <c r="C236" s="2" t="s">
        <v>1</v>
      </c>
      <c r="D236" s="2" t="s">
        <v>492</v>
      </c>
      <c r="E236" s="49" t="s">
        <v>490</v>
      </c>
      <c r="F236" s="2" t="s">
        <v>70</v>
      </c>
      <c r="G236" s="2" t="s">
        <v>102</v>
      </c>
      <c r="H236" s="2" t="s">
        <v>92</v>
      </c>
      <c r="I236" s="2"/>
      <c r="J236" s="2">
        <v>1</v>
      </c>
      <c r="K236" s="2"/>
      <c r="M236" s="2"/>
    </row>
    <row r="237" spans="2:13">
      <c r="B237" s="2">
        <v>71</v>
      </c>
      <c r="C237" s="2" t="s">
        <v>1</v>
      </c>
      <c r="D237" s="2" t="s">
        <v>492</v>
      </c>
      <c r="E237" s="49" t="s">
        <v>490</v>
      </c>
      <c r="F237" s="2" t="s">
        <v>70</v>
      </c>
      <c r="G237" s="2" t="s">
        <v>102</v>
      </c>
      <c r="H237" s="2" t="s">
        <v>93</v>
      </c>
      <c r="I237" s="2"/>
      <c r="J237" s="2">
        <v>1</v>
      </c>
      <c r="K237" s="2"/>
      <c r="M237" s="2"/>
    </row>
    <row r="238" spans="2:13">
      <c r="B238" s="2">
        <v>72</v>
      </c>
      <c r="C238" s="2" t="s">
        <v>1</v>
      </c>
      <c r="D238" s="2" t="s">
        <v>492</v>
      </c>
      <c r="E238" s="49" t="s">
        <v>490</v>
      </c>
      <c r="F238" s="2" t="s">
        <v>75</v>
      </c>
      <c r="G238" s="2" t="s">
        <v>103</v>
      </c>
      <c r="H238" s="2" t="s">
        <v>89</v>
      </c>
      <c r="I238" s="2"/>
      <c r="J238" s="2">
        <v>1</v>
      </c>
      <c r="K238" s="2"/>
      <c r="M238" s="2"/>
    </row>
    <row r="239" spans="2:13">
      <c r="B239" s="2">
        <v>72</v>
      </c>
      <c r="C239" s="2" t="s">
        <v>1</v>
      </c>
      <c r="D239" s="2" t="s">
        <v>492</v>
      </c>
      <c r="E239" s="49" t="s">
        <v>490</v>
      </c>
      <c r="F239" s="2" t="s">
        <v>75</v>
      </c>
      <c r="G239" s="2" t="s">
        <v>103</v>
      </c>
      <c r="H239" s="2" t="s">
        <v>91</v>
      </c>
      <c r="I239" s="2"/>
      <c r="J239" s="2">
        <v>1</v>
      </c>
      <c r="K239" s="2"/>
      <c r="M239" s="2"/>
    </row>
    <row r="240" spans="2:13">
      <c r="B240" s="2">
        <v>72</v>
      </c>
      <c r="C240" s="2" t="s">
        <v>1</v>
      </c>
      <c r="D240" s="2" t="s">
        <v>492</v>
      </c>
      <c r="E240" s="49" t="s">
        <v>490</v>
      </c>
      <c r="F240" s="2" t="s">
        <v>75</v>
      </c>
      <c r="G240" s="2" t="s">
        <v>102</v>
      </c>
      <c r="H240" s="2" t="s">
        <v>91</v>
      </c>
      <c r="I240" s="2"/>
      <c r="J240" s="2">
        <v>1</v>
      </c>
      <c r="K240" s="2"/>
      <c r="M240" s="2"/>
    </row>
    <row r="241" spans="2:13">
      <c r="B241" s="2">
        <v>73</v>
      </c>
      <c r="C241" s="2" t="s">
        <v>1</v>
      </c>
      <c r="D241" s="2" t="s">
        <v>492</v>
      </c>
      <c r="E241" s="49" t="s">
        <v>491</v>
      </c>
      <c r="F241" s="2" t="s">
        <v>72</v>
      </c>
      <c r="G241" s="2" t="s">
        <v>103</v>
      </c>
      <c r="H241" s="2" t="s">
        <v>90</v>
      </c>
      <c r="I241" s="2"/>
      <c r="J241" s="2">
        <v>2</v>
      </c>
      <c r="K241" s="2"/>
      <c r="M241" s="2"/>
    </row>
    <row r="242" spans="2:13">
      <c r="B242" s="2">
        <v>73</v>
      </c>
      <c r="C242" s="2" t="s">
        <v>1</v>
      </c>
      <c r="D242" s="2" t="s">
        <v>492</v>
      </c>
      <c r="E242" s="49" t="s">
        <v>491</v>
      </c>
      <c r="F242" s="2" t="s">
        <v>72</v>
      </c>
      <c r="G242" s="2" t="s">
        <v>103</v>
      </c>
      <c r="H242" s="2" t="s">
        <v>91</v>
      </c>
      <c r="I242" s="2"/>
      <c r="J242" s="2">
        <v>1</v>
      </c>
      <c r="K242" s="2"/>
      <c r="M242" s="2"/>
    </row>
    <row r="243" spans="2:13">
      <c r="B243" s="2">
        <v>73</v>
      </c>
      <c r="C243" s="2" t="s">
        <v>1</v>
      </c>
      <c r="D243" s="2" t="s">
        <v>492</v>
      </c>
      <c r="E243" s="49" t="s">
        <v>491</v>
      </c>
      <c r="F243" s="2" t="s">
        <v>72</v>
      </c>
      <c r="G243" s="2" t="s">
        <v>102</v>
      </c>
      <c r="H243" s="2" t="s">
        <v>91</v>
      </c>
      <c r="I243" s="2"/>
      <c r="J243" s="2">
        <v>1</v>
      </c>
      <c r="K243" s="2"/>
      <c r="M243" s="2"/>
    </row>
    <row r="244" spans="2:13">
      <c r="B244" s="2">
        <v>73</v>
      </c>
      <c r="C244" s="2" t="s">
        <v>1</v>
      </c>
      <c r="D244" s="2" t="s">
        <v>492</v>
      </c>
      <c r="E244" s="49" t="s">
        <v>491</v>
      </c>
      <c r="F244" s="2" t="s">
        <v>72</v>
      </c>
      <c r="G244" s="2" t="s">
        <v>102</v>
      </c>
      <c r="H244" s="2" t="s">
        <v>92</v>
      </c>
      <c r="I244" s="2"/>
      <c r="J244" s="2">
        <v>1</v>
      </c>
      <c r="K244" s="2"/>
      <c r="M244" s="2"/>
    </row>
    <row r="245" spans="2:13">
      <c r="B245" s="2">
        <v>73</v>
      </c>
      <c r="C245" s="2" t="s">
        <v>1</v>
      </c>
      <c r="D245" s="2" t="s">
        <v>492</v>
      </c>
      <c r="E245" s="49" t="s">
        <v>491</v>
      </c>
      <c r="F245" s="2" t="s">
        <v>72</v>
      </c>
      <c r="G245" s="2" t="s">
        <v>102</v>
      </c>
      <c r="H245" s="2" t="s">
        <v>93</v>
      </c>
      <c r="I245" s="2"/>
      <c r="J245" s="2">
        <v>1</v>
      </c>
      <c r="K245" s="2"/>
      <c r="M245" s="2"/>
    </row>
    <row r="246" spans="2:13">
      <c r="B246" s="2">
        <v>74</v>
      </c>
      <c r="C246" s="2" t="s">
        <v>1</v>
      </c>
      <c r="D246" s="2" t="s">
        <v>492</v>
      </c>
      <c r="E246" s="49" t="s">
        <v>491</v>
      </c>
      <c r="F246" s="2" t="s">
        <v>72</v>
      </c>
      <c r="G246" s="2" t="s">
        <v>103</v>
      </c>
      <c r="H246" s="2" t="s">
        <v>90</v>
      </c>
      <c r="I246" s="2"/>
      <c r="J246" s="2">
        <v>1</v>
      </c>
      <c r="K246" s="2"/>
      <c r="M246" s="2"/>
    </row>
    <row r="247" spans="2:13">
      <c r="B247" s="2">
        <v>74</v>
      </c>
      <c r="C247" s="2" t="s">
        <v>1</v>
      </c>
      <c r="D247" s="2" t="s">
        <v>492</v>
      </c>
      <c r="E247" s="49" t="s">
        <v>491</v>
      </c>
      <c r="F247" s="2" t="s">
        <v>72</v>
      </c>
      <c r="G247" s="2" t="s">
        <v>103</v>
      </c>
      <c r="H247" s="2" t="s">
        <v>91</v>
      </c>
      <c r="I247" s="2"/>
      <c r="J247" s="2">
        <v>3</v>
      </c>
      <c r="K247" s="2"/>
      <c r="M247" s="2"/>
    </row>
    <row r="248" spans="2:13">
      <c r="B248" s="2">
        <v>74</v>
      </c>
      <c r="C248" s="2" t="s">
        <v>1</v>
      </c>
      <c r="D248" s="2" t="s">
        <v>492</v>
      </c>
      <c r="E248" s="49" t="s">
        <v>491</v>
      </c>
      <c r="F248" s="2" t="s">
        <v>72</v>
      </c>
      <c r="G248" s="2" t="s">
        <v>102</v>
      </c>
      <c r="H248" s="2" t="s">
        <v>91</v>
      </c>
      <c r="I248" s="2"/>
      <c r="J248" s="2">
        <v>1</v>
      </c>
      <c r="K248" s="2"/>
      <c r="M248" s="2"/>
    </row>
    <row r="249" spans="2:13">
      <c r="B249" s="2">
        <v>75</v>
      </c>
      <c r="C249" s="2" t="s">
        <v>1</v>
      </c>
      <c r="D249" s="2" t="s">
        <v>492</v>
      </c>
      <c r="E249" s="49" t="s">
        <v>491</v>
      </c>
      <c r="F249" s="2" t="s">
        <v>72</v>
      </c>
      <c r="G249" s="2" t="s">
        <v>103</v>
      </c>
      <c r="H249" s="2" t="s">
        <v>90</v>
      </c>
      <c r="I249" s="2"/>
      <c r="J249" s="2">
        <v>2</v>
      </c>
      <c r="K249" s="2"/>
      <c r="M249" s="2"/>
    </row>
    <row r="250" spans="2:13">
      <c r="B250" s="2">
        <v>75</v>
      </c>
      <c r="C250" s="2" t="s">
        <v>1</v>
      </c>
      <c r="D250" s="2" t="s">
        <v>492</v>
      </c>
      <c r="E250" s="49" t="s">
        <v>491</v>
      </c>
      <c r="F250" s="2" t="s">
        <v>15</v>
      </c>
      <c r="G250" s="2" t="s">
        <v>102</v>
      </c>
      <c r="H250" s="2" t="s">
        <v>90</v>
      </c>
      <c r="I250" s="2"/>
      <c r="J250" s="2">
        <v>1</v>
      </c>
      <c r="K250" s="2"/>
      <c r="M250" s="2"/>
    </row>
    <row r="251" spans="2:13">
      <c r="B251" s="2">
        <v>75</v>
      </c>
      <c r="C251" s="2" t="s">
        <v>1</v>
      </c>
      <c r="D251" s="2" t="s">
        <v>492</v>
      </c>
      <c r="E251" s="49" t="s">
        <v>491</v>
      </c>
      <c r="F251" s="2" t="s">
        <v>15</v>
      </c>
      <c r="G251" s="2" t="s">
        <v>103</v>
      </c>
      <c r="H251" s="2" t="s">
        <v>89</v>
      </c>
      <c r="I251" s="2"/>
      <c r="J251" s="2">
        <v>3</v>
      </c>
      <c r="K251" s="2"/>
      <c r="M251" s="2"/>
    </row>
    <row r="252" spans="2:13">
      <c r="B252" s="2">
        <v>75</v>
      </c>
      <c r="C252" s="2" t="s">
        <v>1</v>
      </c>
      <c r="D252" s="2" t="s">
        <v>492</v>
      </c>
      <c r="E252" s="49" t="s">
        <v>491</v>
      </c>
      <c r="F252" s="2" t="s">
        <v>15</v>
      </c>
      <c r="G252" s="2" t="s">
        <v>103</v>
      </c>
      <c r="H252" s="2" t="s">
        <v>90</v>
      </c>
      <c r="I252" s="2"/>
      <c r="J252" s="2">
        <v>1</v>
      </c>
      <c r="K252" s="2"/>
      <c r="M252" s="2"/>
    </row>
    <row r="253" spans="2:13">
      <c r="B253" s="2">
        <v>75</v>
      </c>
      <c r="C253" s="2" t="s">
        <v>1</v>
      </c>
      <c r="D253" s="2" t="s">
        <v>492</v>
      </c>
      <c r="E253" s="49" t="s">
        <v>490</v>
      </c>
      <c r="F253" s="2" t="s">
        <v>71</v>
      </c>
      <c r="G253" s="2" t="s">
        <v>103</v>
      </c>
      <c r="H253" s="2" t="s">
        <v>89</v>
      </c>
      <c r="I253" s="2"/>
      <c r="J253" s="2">
        <v>1</v>
      </c>
      <c r="K253" s="2"/>
      <c r="M253" s="2"/>
    </row>
    <row r="254" spans="2:13">
      <c r="B254" s="2">
        <v>76</v>
      </c>
      <c r="C254" s="2" t="s">
        <v>1</v>
      </c>
      <c r="D254" s="2" t="s">
        <v>492</v>
      </c>
      <c r="E254" s="49" t="s">
        <v>490</v>
      </c>
      <c r="F254" s="2" t="s">
        <v>15</v>
      </c>
      <c r="G254" s="2" t="s">
        <v>102</v>
      </c>
      <c r="H254" s="2" t="s">
        <v>89</v>
      </c>
      <c r="I254" s="2"/>
      <c r="J254" s="2">
        <v>7</v>
      </c>
      <c r="K254" s="2"/>
      <c r="M254" s="2"/>
    </row>
    <row r="255" spans="2:13">
      <c r="B255" s="2">
        <v>76</v>
      </c>
      <c r="C255" s="2" t="s">
        <v>1</v>
      </c>
      <c r="D255" s="2" t="s">
        <v>492</v>
      </c>
      <c r="E255" s="49" t="s">
        <v>490</v>
      </c>
      <c r="F255" s="2" t="s">
        <v>15</v>
      </c>
      <c r="G255" s="2" t="s">
        <v>102</v>
      </c>
      <c r="H255" s="2" t="s">
        <v>90</v>
      </c>
      <c r="I255" s="2"/>
      <c r="J255" s="2">
        <v>5</v>
      </c>
      <c r="K255" s="2"/>
      <c r="M255" s="2"/>
    </row>
    <row r="256" spans="2:13">
      <c r="B256" s="2">
        <v>76</v>
      </c>
      <c r="C256" s="2" t="s">
        <v>1</v>
      </c>
      <c r="D256" s="2" t="s">
        <v>492</v>
      </c>
      <c r="E256" s="49" t="s">
        <v>490</v>
      </c>
      <c r="F256" s="2" t="s">
        <v>15</v>
      </c>
      <c r="G256" s="2" t="s">
        <v>102</v>
      </c>
      <c r="H256" s="2" t="s">
        <v>91</v>
      </c>
      <c r="I256" s="2"/>
      <c r="J256" s="2">
        <v>2</v>
      </c>
      <c r="K256" s="2"/>
      <c r="M256" s="2"/>
    </row>
    <row r="257" spans="2:13">
      <c r="B257" s="2">
        <v>77</v>
      </c>
      <c r="C257" s="2" t="s">
        <v>1</v>
      </c>
      <c r="D257" s="2" t="s">
        <v>492</v>
      </c>
      <c r="E257" s="49" t="s">
        <v>491</v>
      </c>
      <c r="F257" s="2" t="s">
        <v>72</v>
      </c>
      <c r="G257" s="2" t="s">
        <v>103</v>
      </c>
      <c r="H257" s="2" t="s">
        <v>89</v>
      </c>
      <c r="I257" s="2"/>
      <c r="J257" s="2">
        <v>2</v>
      </c>
      <c r="K257" s="2"/>
      <c r="M257" s="2"/>
    </row>
    <row r="258" spans="2:13">
      <c r="B258" s="2">
        <v>77</v>
      </c>
      <c r="C258" s="2" t="s">
        <v>1</v>
      </c>
      <c r="D258" s="2" t="s">
        <v>492</v>
      </c>
      <c r="E258" s="49" t="s">
        <v>491</v>
      </c>
      <c r="F258" s="2" t="s">
        <v>72</v>
      </c>
      <c r="G258" s="2" t="s">
        <v>103</v>
      </c>
      <c r="H258" s="2" t="s">
        <v>90</v>
      </c>
      <c r="I258" s="2"/>
      <c r="J258" s="2">
        <v>1</v>
      </c>
      <c r="K258" s="2"/>
      <c r="M258" s="2"/>
    </row>
    <row r="259" spans="2:13">
      <c r="B259" s="2">
        <v>77</v>
      </c>
      <c r="C259" s="2" t="s">
        <v>1</v>
      </c>
      <c r="D259" s="2" t="s">
        <v>492</v>
      </c>
      <c r="E259" s="49" t="s">
        <v>491</v>
      </c>
      <c r="F259" s="2" t="s">
        <v>72</v>
      </c>
      <c r="G259" s="2" t="s">
        <v>103</v>
      </c>
      <c r="H259" s="2" t="s">
        <v>91</v>
      </c>
      <c r="I259" s="2"/>
      <c r="J259" s="2">
        <v>2</v>
      </c>
      <c r="K259" s="2"/>
      <c r="M259" s="2"/>
    </row>
    <row r="260" spans="2:13">
      <c r="B260" s="2">
        <v>77</v>
      </c>
      <c r="C260" s="2" t="s">
        <v>1</v>
      </c>
      <c r="D260" s="2" t="s">
        <v>492</v>
      </c>
      <c r="E260" s="49" t="s">
        <v>491</v>
      </c>
      <c r="F260" s="2" t="s">
        <v>72</v>
      </c>
      <c r="G260" s="2" t="s">
        <v>103</v>
      </c>
      <c r="H260" s="2" t="s">
        <v>92</v>
      </c>
      <c r="I260" s="2"/>
      <c r="J260" s="2">
        <v>1</v>
      </c>
      <c r="K260" s="2"/>
      <c r="M260" s="2"/>
    </row>
    <row r="261" spans="2:13">
      <c r="B261" s="2">
        <v>78</v>
      </c>
      <c r="C261" s="2" t="s">
        <v>1</v>
      </c>
      <c r="D261" s="2" t="s">
        <v>492</v>
      </c>
      <c r="E261" s="49" t="s">
        <v>490</v>
      </c>
      <c r="F261" s="2" t="s">
        <v>72</v>
      </c>
      <c r="G261" s="2" t="s">
        <v>102</v>
      </c>
      <c r="H261" s="2" t="s">
        <v>91</v>
      </c>
      <c r="I261" s="2"/>
      <c r="J261" s="2">
        <v>1</v>
      </c>
      <c r="K261" s="2"/>
      <c r="M261" s="2"/>
    </row>
    <row r="262" spans="2:13">
      <c r="B262" s="2">
        <v>78</v>
      </c>
      <c r="C262" s="2" t="s">
        <v>1</v>
      </c>
      <c r="D262" s="2" t="s">
        <v>492</v>
      </c>
      <c r="E262" s="49" t="s">
        <v>490</v>
      </c>
      <c r="F262" s="2" t="s">
        <v>74</v>
      </c>
      <c r="G262" s="2" t="s">
        <v>103</v>
      </c>
      <c r="H262" s="2" t="s">
        <v>90</v>
      </c>
      <c r="I262" s="2"/>
      <c r="J262" s="2">
        <v>1</v>
      </c>
      <c r="K262" s="2"/>
      <c r="M262" s="2"/>
    </row>
    <row r="263" spans="2:13">
      <c r="B263" s="2">
        <v>78</v>
      </c>
      <c r="C263" s="2" t="s">
        <v>1</v>
      </c>
      <c r="D263" s="2" t="s">
        <v>492</v>
      </c>
      <c r="E263" s="49" t="s">
        <v>490</v>
      </c>
      <c r="F263" s="2" t="s">
        <v>69</v>
      </c>
      <c r="G263" s="2" t="s">
        <v>103</v>
      </c>
      <c r="H263" s="2" t="s">
        <v>90</v>
      </c>
      <c r="I263" s="2"/>
      <c r="J263" s="2">
        <v>1</v>
      </c>
      <c r="K263" s="2"/>
      <c r="M263" s="2"/>
    </row>
    <row r="264" spans="2:13">
      <c r="B264" s="2">
        <v>78</v>
      </c>
      <c r="C264" s="2" t="s">
        <v>1</v>
      </c>
      <c r="D264" s="2" t="s">
        <v>492</v>
      </c>
      <c r="E264" s="49" t="s">
        <v>490</v>
      </c>
      <c r="F264" s="2" t="s">
        <v>15</v>
      </c>
      <c r="G264" s="2" t="s">
        <v>103</v>
      </c>
      <c r="H264" s="2" t="s">
        <v>91</v>
      </c>
      <c r="I264" s="2"/>
      <c r="J264" s="2">
        <v>2</v>
      </c>
      <c r="K264" s="2"/>
      <c r="M264" s="2"/>
    </row>
    <row r="265" spans="2:13">
      <c r="B265" s="2">
        <v>79</v>
      </c>
      <c r="C265" s="2" t="s">
        <v>1</v>
      </c>
      <c r="D265" s="2" t="s">
        <v>492</v>
      </c>
      <c r="E265" s="49" t="s">
        <v>491</v>
      </c>
      <c r="F265" s="2" t="s">
        <v>74</v>
      </c>
      <c r="G265" s="2" t="s">
        <v>103</v>
      </c>
      <c r="H265" s="2" t="s">
        <v>91</v>
      </c>
      <c r="I265" s="2"/>
      <c r="J265" s="2">
        <v>3</v>
      </c>
      <c r="K265" s="2"/>
      <c r="M265" s="2"/>
    </row>
    <row r="266" spans="2:13">
      <c r="B266" s="2">
        <v>80</v>
      </c>
      <c r="C266" s="2" t="s">
        <v>1</v>
      </c>
      <c r="D266" s="2" t="s">
        <v>492</v>
      </c>
      <c r="E266" s="49" t="s">
        <v>491</v>
      </c>
      <c r="F266" s="2" t="s">
        <v>72</v>
      </c>
      <c r="G266" s="2" t="s">
        <v>103</v>
      </c>
      <c r="H266" s="2" t="s">
        <v>91</v>
      </c>
      <c r="I266" s="2"/>
      <c r="J266" s="2">
        <v>2</v>
      </c>
      <c r="K266" s="2"/>
      <c r="M266" s="2"/>
    </row>
    <row r="267" spans="2:13">
      <c r="B267" s="2">
        <v>80</v>
      </c>
      <c r="C267" s="2" t="s">
        <v>1</v>
      </c>
      <c r="D267" s="2" t="s">
        <v>492</v>
      </c>
      <c r="E267" s="49" t="s">
        <v>491</v>
      </c>
      <c r="F267" s="2" t="s">
        <v>72</v>
      </c>
      <c r="G267" s="2" t="s">
        <v>102</v>
      </c>
      <c r="H267" s="2" t="s">
        <v>90</v>
      </c>
      <c r="I267" s="2"/>
      <c r="J267" s="2">
        <v>1</v>
      </c>
      <c r="K267" s="2"/>
      <c r="M267" s="2"/>
    </row>
    <row r="268" spans="2:13">
      <c r="B268" s="2">
        <v>81</v>
      </c>
      <c r="C268" s="2" t="s">
        <v>1</v>
      </c>
      <c r="D268" s="2" t="s">
        <v>492</v>
      </c>
      <c r="E268" s="49" t="s">
        <v>490</v>
      </c>
      <c r="F268" s="2" t="s">
        <v>74</v>
      </c>
      <c r="G268" s="2" t="s">
        <v>103</v>
      </c>
      <c r="H268" s="2" t="s">
        <v>89</v>
      </c>
      <c r="I268" s="2"/>
      <c r="J268" s="2">
        <v>2</v>
      </c>
      <c r="K268" s="2"/>
      <c r="M268" s="2"/>
    </row>
    <row r="269" spans="2:13">
      <c r="B269" s="2">
        <v>81</v>
      </c>
      <c r="C269" s="2" t="s">
        <v>1</v>
      </c>
      <c r="D269" s="2" t="s">
        <v>492</v>
      </c>
      <c r="E269" s="49" t="s">
        <v>490</v>
      </c>
      <c r="F269" s="2" t="s">
        <v>74</v>
      </c>
      <c r="G269" s="2" t="s">
        <v>103</v>
      </c>
      <c r="H269" s="2" t="s">
        <v>90</v>
      </c>
      <c r="I269" s="2"/>
      <c r="J269" s="2">
        <v>3</v>
      </c>
      <c r="K269" s="2"/>
      <c r="M269" s="2"/>
    </row>
    <row r="270" spans="2:13">
      <c r="B270" s="2">
        <v>81</v>
      </c>
      <c r="C270" s="2" t="s">
        <v>1</v>
      </c>
      <c r="D270" s="2" t="s">
        <v>492</v>
      </c>
      <c r="E270" s="49" t="s">
        <v>490</v>
      </c>
      <c r="F270" s="2" t="s">
        <v>74</v>
      </c>
      <c r="G270" s="2" t="s">
        <v>103</v>
      </c>
      <c r="H270" s="2" t="s">
        <v>91</v>
      </c>
      <c r="I270" s="2"/>
      <c r="J270" s="2">
        <v>2</v>
      </c>
      <c r="K270" s="2"/>
      <c r="M270" s="2"/>
    </row>
    <row r="271" spans="2:13">
      <c r="B271" s="2">
        <v>81</v>
      </c>
      <c r="C271" s="2" t="s">
        <v>1</v>
      </c>
      <c r="D271" s="2" t="s">
        <v>492</v>
      </c>
      <c r="E271" s="49" t="s">
        <v>490</v>
      </c>
      <c r="F271" s="2" t="s">
        <v>74</v>
      </c>
      <c r="G271" s="2" t="s">
        <v>103</v>
      </c>
      <c r="H271" s="2" t="s">
        <v>92</v>
      </c>
      <c r="I271" s="2"/>
      <c r="J271" s="2">
        <v>1</v>
      </c>
      <c r="K271" s="2"/>
      <c r="M271" s="2"/>
    </row>
    <row r="272" spans="2:13">
      <c r="B272" s="2">
        <v>82</v>
      </c>
      <c r="C272" s="2" t="s">
        <v>1</v>
      </c>
      <c r="D272" s="2" t="s">
        <v>492</v>
      </c>
      <c r="E272" s="49" t="s">
        <v>490</v>
      </c>
      <c r="F272" s="2" t="s">
        <v>68</v>
      </c>
      <c r="G272" s="2" t="s">
        <v>103</v>
      </c>
      <c r="H272" s="2" t="s">
        <v>89</v>
      </c>
      <c r="I272" s="2"/>
      <c r="J272" s="2">
        <v>1</v>
      </c>
      <c r="K272" s="2"/>
      <c r="M272" s="2"/>
    </row>
    <row r="273" spans="2:10">
      <c r="B273" s="2">
        <v>82</v>
      </c>
      <c r="C273" s="2" t="s">
        <v>1</v>
      </c>
      <c r="D273" s="2" t="s">
        <v>492</v>
      </c>
      <c r="E273" s="49" t="s">
        <v>490</v>
      </c>
      <c r="F273" s="2" t="s">
        <v>15</v>
      </c>
      <c r="G273" s="2" t="s">
        <v>103</v>
      </c>
      <c r="H273" s="2" t="s">
        <v>90</v>
      </c>
      <c r="I273" s="2"/>
      <c r="J273" s="2">
        <v>1</v>
      </c>
    </row>
    <row r="274" spans="2:10">
      <c r="B274" s="2">
        <v>82</v>
      </c>
      <c r="C274" s="2" t="s">
        <v>1</v>
      </c>
      <c r="D274" s="2" t="s">
        <v>492</v>
      </c>
      <c r="E274" s="49" t="s">
        <v>490</v>
      </c>
      <c r="F274" s="2" t="s">
        <v>72</v>
      </c>
      <c r="G274" s="2" t="s">
        <v>103</v>
      </c>
      <c r="H274" s="2" t="s">
        <v>90</v>
      </c>
      <c r="I274" s="2"/>
      <c r="J274" s="2">
        <v>1</v>
      </c>
    </row>
    <row r="275" spans="2:10">
      <c r="B275" s="2">
        <v>82</v>
      </c>
      <c r="C275" s="2" t="s">
        <v>1</v>
      </c>
      <c r="D275" s="2" t="s">
        <v>492</v>
      </c>
      <c r="E275" s="49" t="s">
        <v>490</v>
      </c>
      <c r="F275" s="2" t="s">
        <v>75</v>
      </c>
      <c r="G275" s="2" t="s">
        <v>102</v>
      </c>
      <c r="H275" s="2" t="s">
        <v>90</v>
      </c>
      <c r="I275" s="2"/>
      <c r="J275" s="2">
        <v>1</v>
      </c>
    </row>
    <row r="276" spans="2:10">
      <c r="B276" s="2">
        <v>83</v>
      </c>
      <c r="C276" s="2" t="s">
        <v>1</v>
      </c>
      <c r="D276" s="2" t="s">
        <v>492</v>
      </c>
      <c r="E276" s="49" t="s">
        <v>490</v>
      </c>
      <c r="F276" s="2" t="s">
        <v>66</v>
      </c>
      <c r="G276" s="2" t="s">
        <v>103</v>
      </c>
      <c r="H276" s="2" t="s">
        <v>90</v>
      </c>
      <c r="I276" s="2"/>
      <c r="J276" s="2">
        <v>1</v>
      </c>
    </row>
    <row r="277" spans="2:10">
      <c r="B277" s="2">
        <v>83</v>
      </c>
      <c r="C277" s="2" t="s">
        <v>1</v>
      </c>
      <c r="D277" s="2" t="s">
        <v>492</v>
      </c>
      <c r="E277" s="49" t="s">
        <v>490</v>
      </c>
      <c r="F277" s="2" t="s">
        <v>75</v>
      </c>
      <c r="G277" s="2" t="s">
        <v>103</v>
      </c>
      <c r="H277" s="2" t="s">
        <v>90</v>
      </c>
      <c r="I277" s="2"/>
      <c r="J277" s="2">
        <v>1</v>
      </c>
    </row>
    <row r="278" spans="2:10">
      <c r="B278" s="2">
        <v>83</v>
      </c>
      <c r="C278" s="2" t="s">
        <v>1</v>
      </c>
      <c r="D278" s="2" t="s">
        <v>492</v>
      </c>
      <c r="E278" s="49" t="s">
        <v>490</v>
      </c>
      <c r="F278" s="2" t="s">
        <v>70</v>
      </c>
      <c r="G278" s="2" t="s">
        <v>103</v>
      </c>
      <c r="H278" s="2" t="s">
        <v>91</v>
      </c>
      <c r="I278" s="2"/>
      <c r="J278" s="2">
        <v>2</v>
      </c>
    </row>
    <row r="279" spans="2:10">
      <c r="B279" s="2">
        <v>83</v>
      </c>
      <c r="C279" s="2" t="s">
        <v>1</v>
      </c>
      <c r="D279" s="2" t="s">
        <v>492</v>
      </c>
      <c r="E279" s="49" t="s">
        <v>490</v>
      </c>
      <c r="F279" s="2" t="s">
        <v>68</v>
      </c>
      <c r="G279" s="2" t="s">
        <v>103</v>
      </c>
      <c r="H279" s="2" t="s">
        <v>91</v>
      </c>
      <c r="I279" s="2"/>
      <c r="J279" s="2">
        <v>1</v>
      </c>
    </row>
    <row r="280" spans="2:10">
      <c r="B280" s="2">
        <v>83</v>
      </c>
      <c r="C280" s="2" t="s">
        <v>1</v>
      </c>
      <c r="D280" s="2" t="s">
        <v>492</v>
      </c>
      <c r="E280" s="49" t="s">
        <v>490</v>
      </c>
      <c r="F280" s="2" t="s">
        <v>71</v>
      </c>
      <c r="G280" s="2" t="s">
        <v>103</v>
      </c>
      <c r="H280" s="2" t="s">
        <v>91</v>
      </c>
      <c r="I280" s="2"/>
      <c r="J280" s="2">
        <v>1</v>
      </c>
    </row>
    <row r="281" spans="2:10">
      <c r="B281" s="2">
        <v>83</v>
      </c>
      <c r="C281" s="2" t="s">
        <v>1</v>
      </c>
      <c r="D281" s="2" t="s">
        <v>492</v>
      </c>
      <c r="E281" s="49" t="s">
        <v>490</v>
      </c>
      <c r="F281" s="2" t="s">
        <v>72</v>
      </c>
      <c r="G281" s="2" t="s">
        <v>103</v>
      </c>
      <c r="H281" s="2" t="s">
        <v>91</v>
      </c>
      <c r="I281" s="2"/>
      <c r="J281" s="2">
        <v>1</v>
      </c>
    </row>
    <row r="282" spans="2:10">
      <c r="B282" s="2">
        <v>83</v>
      </c>
      <c r="C282" s="2" t="s">
        <v>1</v>
      </c>
      <c r="D282" s="2" t="s">
        <v>492</v>
      </c>
      <c r="E282" s="49" t="s">
        <v>490</v>
      </c>
      <c r="F282" s="2" t="s">
        <v>75</v>
      </c>
      <c r="G282" s="2" t="s">
        <v>103</v>
      </c>
      <c r="H282" s="2" t="s">
        <v>91</v>
      </c>
      <c r="I282" s="2"/>
      <c r="J282" s="2">
        <v>1</v>
      </c>
    </row>
    <row r="283" spans="2:10">
      <c r="B283" s="2">
        <v>83</v>
      </c>
      <c r="C283" s="2" t="s">
        <v>1</v>
      </c>
      <c r="D283" s="2" t="s">
        <v>492</v>
      </c>
      <c r="E283" s="49" t="s">
        <v>490</v>
      </c>
      <c r="F283" s="2" t="s">
        <v>70</v>
      </c>
      <c r="G283" s="2" t="s">
        <v>103</v>
      </c>
      <c r="H283" s="2" t="s">
        <v>89</v>
      </c>
      <c r="I283" s="2"/>
      <c r="J283" s="2">
        <v>1</v>
      </c>
    </row>
    <row r="284" spans="2:10">
      <c r="B284" s="2">
        <v>83</v>
      </c>
      <c r="C284" s="2" t="s">
        <v>1</v>
      </c>
      <c r="D284" s="2" t="s">
        <v>492</v>
      </c>
      <c r="E284" s="49" t="s">
        <v>490</v>
      </c>
      <c r="F284" s="2" t="s">
        <v>70</v>
      </c>
      <c r="G284" s="2" t="s">
        <v>103</v>
      </c>
      <c r="H284" s="2" t="s">
        <v>90</v>
      </c>
      <c r="I284" s="2"/>
      <c r="J284" s="2">
        <v>2</v>
      </c>
    </row>
    <row r="285" spans="2:10">
      <c r="B285" s="2">
        <v>83</v>
      </c>
      <c r="C285" s="2" t="s">
        <v>1</v>
      </c>
      <c r="D285" s="2" t="s">
        <v>492</v>
      </c>
      <c r="E285" s="49" t="s">
        <v>490</v>
      </c>
      <c r="F285" s="2" t="s">
        <v>70</v>
      </c>
      <c r="G285" s="2" t="s">
        <v>103</v>
      </c>
      <c r="H285" s="2" t="s">
        <v>92</v>
      </c>
      <c r="I285" s="2"/>
      <c r="J285" s="2">
        <v>1</v>
      </c>
    </row>
    <row r="286" spans="2:10">
      <c r="B286" s="2">
        <v>84</v>
      </c>
      <c r="C286" s="2" t="s">
        <v>1</v>
      </c>
      <c r="D286" s="2" t="s">
        <v>57</v>
      </c>
      <c r="E286" s="49" t="s">
        <v>491</v>
      </c>
      <c r="F286" s="2" t="s">
        <v>15</v>
      </c>
      <c r="G286" s="2" t="s">
        <v>81</v>
      </c>
      <c r="H286" s="2" t="s">
        <v>83</v>
      </c>
      <c r="I286" s="2"/>
      <c r="J286" s="2">
        <v>2</v>
      </c>
    </row>
    <row r="287" spans="2:10">
      <c r="B287" s="2">
        <v>84</v>
      </c>
      <c r="C287" s="2" t="s">
        <v>1</v>
      </c>
      <c r="D287" s="2" t="s">
        <v>57</v>
      </c>
      <c r="E287" s="49" t="s">
        <v>491</v>
      </c>
      <c r="F287" s="2" t="s">
        <v>15</v>
      </c>
      <c r="G287" s="2" t="s">
        <v>81</v>
      </c>
      <c r="H287" s="2" t="s">
        <v>84</v>
      </c>
      <c r="I287" s="2"/>
      <c r="J287" s="2">
        <v>9</v>
      </c>
    </row>
    <row r="288" spans="2:10">
      <c r="B288" s="2">
        <v>84</v>
      </c>
      <c r="C288" s="2" t="s">
        <v>1</v>
      </c>
      <c r="D288" s="2" t="s">
        <v>57</v>
      </c>
      <c r="E288" s="49" t="s">
        <v>491</v>
      </c>
      <c r="F288" s="2" t="s">
        <v>15</v>
      </c>
      <c r="G288" s="2" t="s">
        <v>81</v>
      </c>
      <c r="H288" s="2" t="s">
        <v>85</v>
      </c>
      <c r="I288" s="2"/>
      <c r="J288" s="2">
        <v>7</v>
      </c>
    </row>
    <row r="289" spans="2:10">
      <c r="B289" s="2">
        <v>84</v>
      </c>
      <c r="C289" s="2" t="s">
        <v>1</v>
      </c>
      <c r="D289" s="2" t="s">
        <v>57</v>
      </c>
      <c r="E289" s="49" t="s">
        <v>491</v>
      </c>
      <c r="F289" s="2" t="s">
        <v>15</v>
      </c>
      <c r="G289" s="2" t="s">
        <v>81</v>
      </c>
      <c r="H289" s="2" t="s">
        <v>86</v>
      </c>
      <c r="I289" s="2"/>
      <c r="J289" s="2">
        <v>2</v>
      </c>
    </row>
    <row r="290" spans="2:10">
      <c r="B290" s="2">
        <v>84</v>
      </c>
      <c r="C290" s="2" t="s">
        <v>1</v>
      </c>
      <c r="D290" s="2" t="s">
        <v>57</v>
      </c>
      <c r="E290" s="49" t="s">
        <v>491</v>
      </c>
      <c r="F290" s="2" t="s">
        <v>15</v>
      </c>
      <c r="G290" s="2" t="s">
        <v>103</v>
      </c>
      <c r="H290" s="2" t="s">
        <v>89</v>
      </c>
      <c r="I290" s="2"/>
      <c r="J290" s="2">
        <v>1</v>
      </c>
    </row>
    <row r="291" spans="2:10">
      <c r="B291" s="2">
        <v>84</v>
      </c>
      <c r="C291" s="2" t="s">
        <v>1</v>
      </c>
      <c r="D291" s="2" t="s">
        <v>57</v>
      </c>
      <c r="E291" s="49" t="s">
        <v>491</v>
      </c>
      <c r="F291" s="2" t="s">
        <v>15</v>
      </c>
      <c r="G291" s="2" t="s">
        <v>102</v>
      </c>
      <c r="H291" s="2" t="s">
        <v>90</v>
      </c>
      <c r="I291" s="2"/>
      <c r="J291" s="2">
        <v>1</v>
      </c>
    </row>
    <row r="292" spans="2:10">
      <c r="B292" s="2">
        <v>85</v>
      </c>
      <c r="C292" s="2" t="s">
        <v>1</v>
      </c>
      <c r="D292" s="2" t="s">
        <v>53</v>
      </c>
      <c r="E292" s="49" t="s">
        <v>490</v>
      </c>
      <c r="F292" s="2" t="s">
        <v>15</v>
      </c>
      <c r="G292" s="2" t="s">
        <v>103</v>
      </c>
      <c r="H292" s="2" t="s">
        <v>89</v>
      </c>
      <c r="I292" s="2"/>
      <c r="J292" s="2">
        <v>1</v>
      </c>
    </row>
    <row r="293" spans="2:10">
      <c r="B293" s="2">
        <v>85</v>
      </c>
      <c r="C293" s="2" t="s">
        <v>1</v>
      </c>
      <c r="D293" s="2" t="s">
        <v>53</v>
      </c>
      <c r="E293" s="49" t="s">
        <v>490</v>
      </c>
      <c r="F293" s="2" t="s">
        <v>15</v>
      </c>
      <c r="G293" s="2" t="s">
        <v>103</v>
      </c>
      <c r="H293" s="2" t="s">
        <v>90</v>
      </c>
      <c r="I293" s="2"/>
      <c r="J293" s="2">
        <v>5</v>
      </c>
    </row>
    <row r="294" spans="2:10">
      <c r="B294" s="2">
        <v>85</v>
      </c>
      <c r="C294" s="2" t="s">
        <v>1</v>
      </c>
      <c r="D294" s="2" t="s">
        <v>53</v>
      </c>
      <c r="E294" s="49" t="s">
        <v>490</v>
      </c>
      <c r="F294" s="2" t="s">
        <v>15</v>
      </c>
      <c r="G294" s="2" t="s">
        <v>102</v>
      </c>
      <c r="H294" s="2" t="s">
        <v>90</v>
      </c>
      <c r="I294" s="2"/>
      <c r="J294" s="2">
        <v>2</v>
      </c>
    </row>
    <row r="295" spans="2:10">
      <c r="B295" s="2">
        <v>85</v>
      </c>
      <c r="C295" s="2" t="s">
        <v>1</v>
      </c>
      <c r="D295" s="2" t="s">
        <v>53</v>
      </c>
      <c r="E295" s="49" t="s">
        <v>490</v>
      </c>
      <c r="F295" s="2" t="s">
        <v>15</v>
      </c>
      <c r="G295" s="2" t="s">
        <v>103</v>
      </c>
      <c r="H295" s="2" t="s">
        <v>91</v>
      </c>
      <c r="I295" s="2"/>
      <c r="J295" s="2">
        <v>1</v>
      </c>
    </row>
    <row r="296" spans="2:10">
      <c r="B296" s="2">
        <v>86</v>
      </c>
      <c r="C296" s="2" t="s">
        <v>1</v>
      </c>
      <c r="D296" s="2" t="s">
        <v>492</v>
      </c>
      <c r="E296" s="49" t="s">
        <v>490</v>
      </c>
      <c r="F296" s="2" t="s">
        <v>70</v>
      </c>
      <c r="G296" s="2" t="s">
        <v>103</v>
      </c>
      <c r="H296" s="2" t="s">
        <v>90</v>
      </c>
      <c r="I296" s="2"/>
      <c r="J296" s="2">
        <v>1</v>
      </c>
    </row>
    <row r="297" spans="2:10">
      <c r="B297" s="2">
        <v>86</v>
      </c>
      <c r="C297" s="2" t="s">
        <v>1</v>
      </c>
      <c r="D297" s="2" t="s">
        <v>492</v>
      </c>
      <c r="E297" s="49" t="s">
        <v>490</v>
      </c>
      <c r="F297" s="2" t="s">
        <v>72</v>
      </c>
      <c r="G297" s="2" t="s">
        <v>103</v>
      </c>
      <c r="H297" s="2" t="s">
        <v>90</v>
      </c>
      <c r="I297" s="2"/>
      <c r="J297" s="2">
        <v>1</v>
      </c>
    </row>
    <row r="298" spans="2:10">
      <c r="B298" s="2">
        <v>86</v>
      </c>
      <c r="C298" s="2" t="s">
        <v>1</v>
      </c>
      <c r="D298" s="2" t="s">
        <v>492</v>
      </c>
      <c r="E298" s="49" t="s">
        <v>490</v>
      </c>
      <c r="F298" s="2" t="s">
        <v>15</v>
      </c>
      <c r="G298" s="2" t="s">
        <v>103</v>
      </c>
      <c r="H298" s="2" t="s">
        <v>90</v>
      </c>
      <c r="I298" s="2"/>
      <c r="J298" s="2">
        <v>1</v>
      </c>
    </row>
    <row r="299" spans="2:10">
      <c r="B299" s="2">
        <v>87</v>
      </c>
      <c r="C299" s="2" t="s">
        <v>1</v>
      </c>
      <c r="D299" s="2" t="s">
        <v>492</v>
      </c>
      <c r="E299" s="49" t="s">
        <v>490</v>
      </c>
      <c r="F299" s="2" t="s">
        <v>71</v>
      </c>
      <c r="G299" s="2" t="s">
        <v>102</v>
      </c>
      <c r="H299" s="2" t="s">
        <v>87</v>
      </c>
      <c r="I299" s="2"/>
      <c r="J299" s="2">
        <v>1</v>
      </c>
    </row>
    <row r="300" spans="2:10">
      <c r="B300" s="2">
        <v>87</v>
      </c>
      <c r="C300" s="2" t="s">
        <v>1</v>
      </c>
      <c r="D300" s="2" t="s">
        <v>492</v>
      </c>
      <c r="E300" s="49" t="s">
        <v>490</v>
      </c>
      <c r="F300" s="2" t="s">
        <v>71</v>
      </c>
      <c r="G300" s="2" t="s">
        <v>103</v>
      </c>
      <c r="H300" s="2" t="s">
        <v>89</v>
      </c>
      <c r="I300" s="2"/>
      <c r="J300" s="2">
        <v>2</v>
      </c>
    </row>
    <row r="301" spans="2:10">
      <c r="B301" s="2">
        <v>87</v>
      </c>
      <c r="C301" s="2" t="s">
        <v>1</v>
      </c>
      <c r="D301" s="2" t="s">
        <v>492</v>
      </c>
      <c r="E301" s="49" t="s">
        <v>490</v>
      </c>
      <c r="F301" s="2" t="s">
        <v>71</v>
      </c>
      <c r="G301" s="2" t="s">
        <v>102</v>
      </c>
      <c r="H301" s="2" t="s">
        <v>91</v>
      </c>
      <c r="I301" s="2"/>
      <c r="J301" s="2">
        <v>1</v>
      </c>
    </row>
    <row r="302" spans="2:10">
      <c r="B302" s="2">
        <v>88</v>
      </c>
      <c r="C302" s="2" t="s">
        <v>1</v>
      </c>
      <c r="D302" s="2" t="s">
        <v>57</v>
      </c>
      <c r="E302" s="49" t="s">
        <v>491</v>
      </c>
      <c r="F302" s="2" t="s">
        <v>15</v>
      </c>
      <c r="G302" s="2" t="s">
        <v>81</v>
      </c>
      <c r="H302" s="2" t="s">
        <v>83</v>
      </c>
      <c r="I302" s="2"/>
      <c r="J302" s="2">
        <v>2</v>
      </c>
    </row>
    <row r="303" spans="2:10">
      <c r="B303" s="2">
        <v>88</v>
      </c>
      <c r="C303" s="2" t="s">
        <v>1</v>
      </c>
      <c r="D303" s="2" t="s">
        <v>57</v>
      </c>
      <c r="E303" s="49" t="s">
        <v>491</v>
      </c>
      <c r="F303" s="2" t="s">
        <v>15</v>
      </c>
      <c r="G303" s="2" t="s">
        <v>81</v>
      </c>
      <c r="H303" s="2" t="s">
        <v>84</v>
      </c>
      <c r="I303" s="2"/>
      <c r="J303" s="2">
        <v>9</v>
      </c>
    </row>
    <row r="304" spans="2:10">
      <c r="B304" s="2">
        <v>88</v>
      </c>
      <c r="C304" s="2" t="s">
        <v>1</v>
      </c>
      <c r="D304" s="2" t="s">
        <v>57</v>
      </c>
      <c r="E304" s="49" t="s">
        <v>491</v>
      </c>
      <c r="F304" s="2" t="s">
        <v>15</v>
      </c>
      <c r="G304" s="2" t="s">
        <v>81</v>
      </c>
      <c r="H304" s="2" t="s">
        <v>85</v>
      </c>
      <c r="I304" s="2"/>
      <c r="J304" s="2">
        <v>3</v>
      </c>
    </row>
    <row r="305" spans="2:10">
      <c r="B305" s="2">
        <v>88</v>
      </c>
      <c r="C305" s="2" t="s">
        <v>1</v>
      </c>
      <c r="D305" s="2" t="s">
        <v>57</v>
      </c>
      <c r="E305" s="49" t="s">
        <v>491</v>
      </c>
      <c r="F305" s="2" t="s">
        <v>15</v>
      </c>
      <c r="G305" s="2" t="s">
        <v>81</v>
      </c>
      <c r="H305" s="2" t="s">
        <v>86</v>
      </c>
      <c r="I305" s="2"/>
      <c r="J305" s="2">
        <v>2</v>
      </c>
    </row>
    <row r="306" spans="2:10">
      <c r="B306" s="2">
        <v>88</v>
      </c>
      <c r="C306" s="2" t="s">
        <v>1</v>
      </c>
      <c r="D306" s="2" t="s">
        <v>57</v>
      </c>
      <c r="E306" s="49" t="s">
        <v>491</v>
      </c>
      <c r="F306" s="2" t="s">
        <v>15</v>
      </c>
      <c r="G306" s="2" t="s">
        <v>103</v>
      </c>
      <c r="H306" s="2" t="s">
        <v>90</v>
      </c>
      <c r="I306" s="2"/>
      <c r="J306" s="2">
        <v>3</v>
      </c>
    </row>
    <row r="307" spans="2:10">
      <c r="B307" s="2">
        <v>89</v>
      </c>
      <c r="C307" s="2" t="s">
        <v>1</v>
      </c>
      <c r="D307" s="2" t="s">
        <v>53</v>
      </c>
      <c r="E307" s="49" t="s">
        <v>491</v>
      </c>
      <c r="F307" s="2" t="s">
        <v>72</v>
      </c>
      <c r="G307" s="2" t="s">
        <v>102</v>
      </c>
      <c r="H307" s="2" t="s">
        <v>90</v>
      </c>
      <c r="I307" s="2"/>
      <c r="J307" s="2">
        <v>1</v>
      </c>
    </row>
    <row r="308" spans="2:10">
      <c r="B308" s="2">
        <v>90</v>
      </c>
      <c r="C308" s="2" t="s">
        <v>1</v>
      </c>
      <c r="D308" s="2" t="s">
        <v>492</v>
      </c>
      <c r="E308" s="49" t="s">
        <v>490</v>
      </c>
      <c r="F308" s="2" t="s">
        <v>70</v>
      </c>
      <c r="G308" s="2" t="s">
        <v>103</v>
      </c>
      <c r="H308" s="2" t="s">
        <v>90</v>
      </c>
      <c r="I308" s="2"/>
      <c r="J308" s="2">
        <v>1</v>
      </c>
    </row>
    <row r="309" spans="2:10">
      <c r="B309" s="2">
        <v>90</v>
      </c>
      <c r="C309" s="2" t="s">
        <v>1</v>
      </c>
      <c r="D309" s="2" t="s">
        <v>492</v>
      </c>
      <c r="E309" s="49" t="s">
        <v>490</v>
      </c>
      <c r="F309" s="2" t="s">
        <v>70</v>
      </c>
      <c r="G309" s="2" t="s">
        <v>103</v>
      </c>
      <c r="H309" s="2" t="s">
        <v>91</v>
      </c>
      <c r="I309" s="2"/>
      <c r="J309" s="2">
        <v>2</v>
      </c>
    </row>
    <row r="310" spans="2:10">
      <c r="B310" s="2">
        <v>90</v>
      </c>
      <c r="C310" s="2" t="s">
        <v>1</v>
      </c>
      <c r="D310" s="2" t="s">
        <v>492</v>
      </c>
      <c r="E310" s="49" t="s">
        <v>490</v>
      </c>
      <c r="F310" s="2" t="s">
        <v>70</v>
      </c>
      <c r="G310" s="2" t="s">
        <v>103</v>
      </c>
      <c r="H310" s="2" t="s">
        <v>92</v>
      </c>
      <c r="I310" s="2"/>
      <c r="J310" s="2">
        <v>5</v>
      </c>
    </row>
    <row r="311" spans="2:10">
      <c r="B311" s="2">
        <v>90</v>
      </c>
      <c r="C311" s="2" t="s">
        <v>1</v>
      </c>
      <c r="D311" s="2" t="s">
        <v>492</v>
      </c>
      <c r="E311" s="49" t="s">
        <v>490</v>
      </c>
      <c r="F311" s="2" t="s">
        <v>70</v>
      </c>
      <c r="G311" s="2" t="s">
        <v>102</v>
      </c>
      <c r="H311" s="2" t="s">
        <v>92</v>
      </c>
      <c r="I311" s="2"/>
      <c r="J311" s="2">
        <v>1</v>
      </c>
    </row>
    <row r="312" spans="2:10">
      <c r="B312" s="2">
        <v>91</v>
      </c>
      <c r="C312" s="2" t="s">
        <v>47</v>
      </c>
      <c r="D312" s="2" t="s">
        <v>492</v>
      </c>
      <c r="E312" s="49" t="s">
        <v>99</v>
      </c>
      <c r="F312" s="2" t="s">
        <v>73</v>
      </c>
      <c r="G312" s="2" t="s">
        <v>105</v>
      </c>
      <c r="H312" s="2" t="s">
        <v>90</v>
      </c>
      <c r="I312" s="2"/>
      <c r="J312" s="2">
        <v>1</v>
      </c>
    </row>
    <row r="313" spans="2:10">
      <c r="B313" s="2">
        <v>92</v>
      </c>
      <c r="C313" s="2" t="s">
        <v>47</v>
      </c>
      <c r="D313" s="2" t="s">
        <v>492</v>
      </c>
      <c r="E313" s="49" t="s">
        <v>99</v>
      </c>
      <c r="F313" s="2" t="s">
        <v>73</v>
      </c>
      <c r="G313" s="2" t="s">
        <v>104</v>
      </c>
      <c r="H313" s="2" t="s">
        <v>91</v>
      </c>
      <c r="I313" s="2"/>
      <c r="J313" s="2">
        <v>1</v>
      </c>
    </row>
    <row r="314" spans="2:10">
      <c r="B314" s="2">
        <v>93</v>
      </c>
      <c r="C314" s="2" t="s">
        <v>1</v>
      </c>
      <c r="D314" s="2" t="s">
        <v>492</v>
      </c>
      <c r="E314" s="49" t="s">
        <v>491</v>
      </c>
      <c r="F314" s="2" t="s">
        <v>74</v>
      </c>
      <c r="G314" s="2" t="s">
        <v>102</v>
      </c>
      <c r="H314" s="2" t="s">
        <v>91</v>
      </c>
      <c r="I314" s="2"/>
      <c r="J314" s="2">
        <v>2</v>
      </c>
    </row>
    <row r="315" spans="2:10">
      <c r="B315" s="2">
        <v>93</v>
      </c>
      <c r="C315" s="2" t="s">
        <v>1</v>
      </c>
      <c r="D315" s="2" t="s">
        <v>492</v>
      </c>
      <c r="E315" s="49" t="s">
        <v>491</v>
      </c>
      <c r="F315" s="2" t="s">
        <v>66</v>
      </c>
      <c r="G315" s="2" t="s">
        <v>102</v>
      </c>
      <c r="H315" s="2" t="s">
        <v>90</v>
      </c>
      <c r="I315" s="2"/>
      <c r="J315" s="2">
        <v>1</v>
      </c>
    </row>
    <row r="316" spans="2:10">
      <c r="B316" s="2">
        <v>93</v>
      </c>
      <c r="C316" s="2" t="s">
        <v>1</v>
      </c>
      <c r="D316" s="2" t="s">
        <v>492</v>
      </c>
      <c r="E316" s="49" t="s">
        <v>490</v>
      </c>
      <c r="F316" s="2" t="s">
        <v>72</v>
      </c>
      <c r="G316" s="2" t="s">
        <v>103</v>
      </c>
      <c r="H316" s="2" t="s">
        <v>91</v>
      </c>
      <c r="I316" s="2"/>
      <c r="J316" s="2">
        <v>1</v>
      </c>
    </row>
    <row r="317" spans="2:10">
      <c r="B317" s="2">
        <v>94</v>
      </c>
      <c r="C317" s="2" t="s">
        <v>1</v>
      </c>
      <c r="D317" s="2" t="s">
        <v>492</v>
      </c>
      <c r="E317" s="49" t="s">
        <v>490</v>
      </c>
      <c r="F317" s="2" t="s">
        <v>15</v>
      </c>
      <c r="G317" s="2" t="s">
        <v>102</v>
      </c>
      <c r="H317" s="2" t="s">
        <v>89</v>
      </c>
      <c r="I317" s="2"/>
      <c r="J317" s="2">
        <v>1</v>
      </c>
    </row>
    <row r="318" spans="2:10">
      <c r="B318" s="2">
        <v>94</v>
      </c>
      <c r="C318" s="2" t="s">
        <v>1</v>
      </c>
      <c r="D318" s="2" t="s">
        <v>492</v>
      </c>
      <c r="E318" s="49" t="s">
        <v>490</v>
      </c>
      <c r="F318" s="2" t="s">
        <v>15</v>
      </c>
      <c r="G318" s="2" t="s">
        <v>102</v>
      </c>
      <c r="H318" s="2" t="s">
        <v>90</v>
      </c>
      <c r="I318" s="2"/>
      <c r="J318" s="2">
        <v>2</v>
      </c>
    </row>
    <row r="319" spans="2:10">
      <c r="B319" s="2">
        <v>94</v>
      </c>
      <c r="C319" s="2" t="s">
        <v>1</v>
      </c>
      <c r="D319" s="2" t="s">
        <v>492</v>
      </c>
      <c r="E319" s="49" t="s">
        <v>490</v>
      </c>
      <c r="F319" s="2" t="s">
        <v>15</v>
      </c>
      <c r="G319" s="2" t="s">
        <v>102</v>
      </c>
      <c r="H319" s="2" t="s">
        <v>91</v>
      </c>
      <c r="I319" s="2"/>
      <c r="J319" s="2">
        <v>2</v>
      </c>
    </row>
    <row r="320" spans="2:10">
      <c r="B320" s="2">
        <v>95</v>
      </c>
      <c r="C320" s="2" t="s">
        <v>1</v>
      </c>
      <c r="D320" s="2" t="s">
        <v>492</v>
      </c>
      <c r="E320" s="49" t="s">
        <v>490</v>
      </c>
      <c r="F320" s="2" t="s">
        <v>72</v>
      </c>
      <c r="G320" s="2" t="s">
        <v>103</v>
      </c>
      <c r="H320" s="2" t="s">
        <v>91</v>
      </c>
      <c r="I320" s="2"/>
      <c r="J320" s="2">
        <v>1</v>
      </c>
    </row>
    <row r="321" spans="2:10">
      <c r="B321" s="2">
        <v>95</v>
      </c>
      <c r="C321" s="2" t="s">
        <v>1</v>
      </c>
      <c r="D321" s="2" t="s">
        <v>492</v>
      </c>
      <c r="E321" s="49" t="s">
        <v>490</v>
      </c>
      <c r="F321" s="2" t="s">
        <v>71</v>
      </c>
      <c r="G321" s="2" t="s">
        <v>103</v>
      </c>
      <c r="H321" s="2" t="s">
        <v>92</v>
      </c>
      <c r="I321" s="2"/>
      <c r="J321" s="2">
        <v>1</v>
      </c>
    </row>
    <row r="322" spans="2:10">
      <c r="B322" s="2">
        <v>95</v>
      </c>
      <c r="C322" s="2" t="s">
        <v>1</v>
      </c>
      <c r="D322" s="2" t="s">
        <v>492</v>
      </c>
      <c r="E322" s="49" t="s">
        <v>490</v>
      </c>
      <c r="F322" s="2" t="s">
        <v>70</v>
      </c>
      <c r="G322" s="2" t="s">
        <v>103</v>
      </c>
      <c r="H322" s="2" t="s">
        <v>92</v>
      </c>
      <c r="I322" s="2"/>
      <c r="J322" s="2">
        <v>1</v>
      </c>
    </row>
    <row r="323" spans="2:10">
      <c r="B323" s="2">
        <v>95</v>
      </c>
      <c r="C323" s="2" t="s">
        <v>1</v>
      </c>
      <c r="D323" s="2" t="s">
        <v>492</v>
      </c>
      <c r="E323" s="49" t="s">
        <v>490</v>
      </c>
      <c r="F323" s="2" t="s">
        <v>72</v>
      </c>
      <c r="G323" s="2" t="s">
        <v>103</v>
      </c>
      <c r="H323" s="2" t="s">
        <v>92</v>
      </c>
      <c r="I323" s="2"/>
      <c r="J323" s="2">
        <v>1</v>
      </c>
    </row>
    <row r="324" spans="2:10">
      <c r="B324" s="2">
        <v>95</v>
      </c>
      <c r="C324" s="2" t="s">
        <v>1</v>
      </c>
      <c r="D324" s="2" t="s">
        <v>492</v>
      </c>
      <c r="E324" s="49" t="s">
        <v>490</v>
      </c>
      <c r="F324" s="2" t="s">
        <v>15</v>
      </c>
      <c r="G324" s="2" t="s">
        <v>102</v>
      </c>
      <c r="H324" s="2" t="s">
        <v>92</v>
      </c>
      <c r="I324" s="2"/>
      <c r="J324" s="2">
        <v>1</v>
      </c>
    </row>
    <row r="325" spans="2:10">
      <c r="B325" s="2">
        <v>95</v>
      </c>
      <c r="C325" s="2" t="s">
        <v>1</v>
      </c>
      <c r="D325" s="2" t="s">
        <v>492</v>
      </c>
      <c r="E325" s="49" t="s">
        <v>490</v>
      </c>
      <c r="F325" s="2" t="s">
        <v>74</v>
      </c>
      <c r="G325" s="2" t="s">
        <v>102</v>
      </c>
      <c r="H325" s="2" t="s">
        <v>92</v>
      </c>
      <c r="I325" s="2"/>
      <c r="J325" s="2">
        <v>1</v>
      </c>
    </row>
    <row r="326" spans="2:10">
      <c r="B326" s="2">
        <v>95</v>
      </c>
      <c r="C326" s="2" t="s">
        <v>1</v>
      </c>
      <c r="D326" s="2" t="s">
        <v>492</v>
      </c>
      <c r="E326" s="49" t="s">
        <v>490</v>
      </c>
      <c r="F326" s="2" t="s">
        <v>66</v>
      </c>
      <c r="G326" s="2" t="s">
        <v>102</v>
      </c>
      <c r="H326" s="2" t="s">
        <v>92</v>
      </c>
      <c r="I326" s="2"/>
      <c r="J326" s="2">
        <v>1</v>
      </c>
    </row>
    <row r="327" spans="2:10">
      <c r="B327" s="2">
        <v>95</v>
      </c>
      <c r="C327" s="2" t="s">
        <v>1</v>
      </c>
      <c r="D327" s="2" t="s">
        <v>492</v>
      </c>
      <c r="E327" s="49" t="s">
        <v>490</v>
      </c>
      <c r="F327" s="2" t="s">
        <v>75</v>
      </c>
      <c r="G327" s="2" t="s">
        <v>102</v>
      </c>
      <c r="H327" s="2" t="s">
        <v>92</v>
      </c>
      <c r="I327" s="2"/>
      <c r="J327" s="2">
        <v>1</v>
      </c>
    </row>
    <row r="328" spans="2:10">
      <c r="B328" s="2">
        <v>96</v>
      </c>
      <c r="C328" s="2" t="s">
        <v>1</v>
      </c>
      <c r="D328" s="2" t="s">
        <v>492</v>
      </c>
      <c r="E328" s="49" t="s">
        <v>490</v>
      </c>
      <c r="F328" s="2" t="s">
        <v>72</v>
      </c>
      <c r="G328" s="2" t="s">
        <v>103</v>
      </c>
      <c r="H328" s="2" t="s">
        <v>89</v>
      </c>
      <c r="I328" s="2"/>
      <c r="J328" s="2">
        <v>1</v>
      </c>
    </row>
    <row r="329" spans="2:10">
      <c r="B329" s="2">
        <v>96</v>
      </c>
      <c r="C329" s="2" t="s">
        <v>1</v>
      </c>
      <c r="D329" s="2" t="s">
        <v>492</v>
      </c>
      <c r="E329" s="49" t="s">
        <v>490</v>
      </c>
      <c r="F329" s="2" t="s">
        <v>72</v>
      </c>
      <c r="G329" s="2" t="s">
        <v>103</v>
      </c>
      <c r="H329" s="2" t="s">
        <v>90</v>
      </c>
      <c r="I329" s="2"/>
      <c r="J329" s="2">
        <v>2</v>
      </c>
    </row>
    <row r="330" spans="2:10">
      <c r="B330" s="2">
        <v>97</v>
      </c>
      <c r="C330" s="2" t="s">
        <v>1</v>
      </c>
      <c r="D330" s="2" t="s">
        <v>492</v>
      </c>
      <c r="E330" s="49" t="s">
        <v>490</v>
      </c>
      <c r="F330" s="2" t="s">
        <v>70</v>
      </c>
      <c r="G330" s="2" t="s">
        <v>103</v>
      </c>
      <c r="H330" s="2" t="s">
        <v>89</v>
      </c>
      <c r="I330" s="2"/>
      <c r="J330" s="2">
        <v>5</v>
      </c>
    </row>
    <row r="331" spans="2:10">
      <c r="B331" s="2">
        <v>97</v>
      </c>
      <c r="C331" s="2" t="s">
        <v>1</v>
      </c>
      <c r="D331" s="2" t="s">
        <v>492</v>
      </c>
      <c r="E331" s="49" t="s">
        <v>490</v>
      </c>
      <c r="F331" s="2" t="s">
        <v>70</v>
      </c>
      <c r="G331" s="2" t="s">
        <v>103</v>
      </c>
      <c r="H331" s="2" t="s">
        <v>90</v>
      </c>
      <c r="I331" s="2"/>
      <c r="J331" s="2">
        <v>2</v>
      </c>
    </row>
    <row r="332" spans="2:10">
      <c r="B332" s="2">
        <v>97</v>
      </c>
      <c r="C332" s="2" t="s">
        <v>1</v>
      </c>
      <c r="D332" s="2" t="s">
        <v>492</v>
      </c>
      <c r="E332" s="49" t="s">
        <v>490</v>
      </c>
      <c r="F332" s="2" t="s">
        <v>70</v>
      </c>
      <c r="G332" s="2" t="s">
        <v>102</v>
      </c>
      <c r="H332" s="2" t="s">
        <v>89</v>
      </c>
      <c r="I332" s="2"/>
      <c r="J332" s="2">
        <v>1</v>
      </c>
    </row>
    <row r="333" spans="2:10">
      <c r="B333" s="2">
        <v>97</v>
      </c>
      <c r="C333" s="2" t="s">
        <v>1</v>
      </c>
      <c r="D333" s="2" t="s">
        <v>492</v>
      </c>
      <c r="E333" s="49" t="s">
        <v>490</v>
      </c>
      <c r="F333" s="2" t="s">
        <v>70</v>
      </c>
      <c r="G333" s="2" t="s">
        <v>102</v>
      </c>
      <c r="H333" s="2" t="s">
        <v>91</v>
      </c>
      <c r="I333" s="2"/>
      <c r="J333" s="2">
        <v>1</v>
      </c>
    </row>
    <row r="334" spans="2:10">
      <c r="B334" s="2">
        <v>98</v>
      </c>
      <c r="C334" s="2" t="s">
        <v>1</v>
      </c>
      <c r="D334" s="2" t="s">
        <v>492</v>
      </c>
      <c r="E334" s="49" t="s">
        <v>491</v>
      </c>
      <c r="F334" s="2" t="s">
        <v>74</v>
      </c>
      <c r="G334" s="2" t="s">
        <v>103</v>
      </c>
      <c r="H334" s="2" t="s">
        <v>90</v>
      </c>
      <c r="I334" s="2"/>
      <c r="J334" s="2">
        <v>3</v>
      </c>
    </row>
    <row r="335" spans="2:10">
      <c r="B335" s="2">
        <v>98</v>
      </c>
      <c r="C335" s="2" t="s">
        <v>1</v>
      </c>
      <c r="D335" s="2" t="s">
        <v>492</v>
      </c>
      <c r="E335" s="49" t="s">
        <v>491</v>
      </c>
      <c r="F335" s="2" t="s">
        <v>66</v>
      </c>
      <c r="G335" s="2" t="s">
        <v>103</v>
      </c>
      <c r="H335" s="2" t="s">
        <v>91</v>
      </c>
      <c r="I335" s="2"/>
      <c r="J335" s="2">
        <v>1</v>
      </c>
    </row>
    <row r="336" spans="2:10">
      <c r="B336" s="2">
        <v>98</v>
      </c>
      <c r="C336" s="2" t="s">
        <v>1</v>
      </c>
      <c r="D336" s="2" t="s">
        <v>492</v>
      </c>
      <c r="E336" s="49" t="s">
        <v>491</v>
      </c>
      <c r="F336" s="2" t="s">
        <v>72</v>
      </c>
      <c r="G336" s="2" t="s">
        <v>103</v>
      </c>
      <c r="H336" s="2" t="s">
        <v>91</v>
      </c>
      <c r="I336" s="2"/>
      <c r="J336" s="2">
        <v>1</v>
      </c>
    </row>
    <row r="337" spans="2:10">
      <c r="B337" s="2">
        <v>98</v>
      </c>
      <c r="C337" s="2" t="s">
        <v>1</v>
      </c>
      <c r="D337" s="2" t="s">
        <v>492</v>
      </c>
      <c r="E337" s="49" t="s">
        <v>491</v>
      </c>
      <c r="F337" s="2" t="s">
        <v>72</v>
      </c>
      <c r="G337" s="2" t="s">
        <v>103</v>
      </c>
      <c r="H337" s="2" t="s">
        <v>92</v>
      </c>
      <c r="I337" s="2"/>
      <c r="J337" s="2">
        <v>1</v>
      </c>
    </row>
    <row r="338" spans="2:10">
      <c r="B338" s="2">
        <v>99</v>
      </c>
      <c r="C338" s="2" t="s">
        <v>47</v>
      </c>
      <c r="D338" s="2" t="s">
        <v>492</v>
      </c>
      <c r="E338" s="49" t="s">
        <v>99</v>
      </c>
      <c r="F338" s="2" t="s">
        <v>15</v>
      </c>
      <c r="G338" s="2" t="s">
        <v>105</v>
      </c>
      <c r="H338" s="2" t="s">
        <v>90</v>
      </c>
      <c r="I338" s="2"/>
      <c r="J338" s="2">
        <v>2</v>
      </c>
    </row>
    <row r="339" spans="2:10">
      <c r="B339" s="2">
        <v>100</v>
      </c>
      <c r="C339" s="2" t="s">
        <v>1</v>
      </c>
      <c r="D339" s="2" t="s">
        <v>53</v>
      </c>
      <c r="E339" s="49" t="s">
        <v>490</v>
      </c>
      <c r="F339" s="2" t="s">
        <v>15</v>
      </c>
      <c r="G339" s="2" t="s">
        <v>81</v>
      </c>
      <c r="H339" s="2" t="s">
        <v>83</v>
      </c>
      <c r="I339" s="2"/>
      <c r="J339" s="2">
        <v>1</v>
      </c>
    </row>
    <row r="340" spans="2:10">
      <c r="B340" s="2">
        <v>100</v>
      </c>
      <c r="C340" s="2" t="s">
        <v>1</v>
      </c>
      <c r="D340" s="2" t="s">
        <v>53</v>
      </c>
      <c r="E340" s="49" t="s">
        <v>490</v>
      </c>
      <c r="F340" s="2" t="s">
        <v>15</v>
      </c>
      <c r="G340" s="2" t="s">
        <v>102</v>
      </c>
      <c r="H340" s="2" t="s">
        <v>87</v>
      </c>
      <c r="I340" s="2"/>
      <c r="J340" s="2">
        <v>1</v>
      </c>
    </row>
    <row r="341" spans="2:10">
      <c r="B341" s="2">
        <v>100</v>
      </c>
      <c r="C341" s="2" t="s">
        <v>1</v>
      </c>
      <c r="D341" s="2" t="s">
        <v>53</v>
      </c>
      <c r="E341" s="49" t="s">
        <v>490</v>
      </c>
      <c r="F341" s="2" t="s">
        <v>15</v>
      </c>
      <c r="G341" s="2" t="s">
        <v>103</v>
      </c>
      <c r="H341" s="2" t="s">
        <v>90</v>
      </c>
      <c r="I341" s="2"/>
      <c r="J341" s="2">
        <v>1</v>
      </c>
    </row>
    <row r="342" spans="2:10">
      <c r="B342" s="2">
        <v>100</v>
      </c>
      <c r="C342" s="2" t="s">
        <v>1</v>
      </c>
      <c r="D342" s="2" t="s">
        <v>53</v>
      </c>
      <c r="E342" s="49" t="s">
        <v>490</v>
      </c>
      <c r="F342" s="2" t="s">
        <v>15</v>
      </c>
      <c r="G342" s="2" t="s">
        <v>102</v>
      </c>
      <c r="H342" s="2" t="s">
        <v>91</v>
      </c>
      <c r="I342" s="2"/>
      <c r="J342" s="2">
        <v>1</v>
      </c>
    </row>
    <row r="343" spans="2:10">
      <c r="B343" s="2">
        <v>101</v>
      </c>
      <c r="C343" s="2" t="s">
        <v>1</v>
      </c>
      <c r="D343" s="2" t="s">
        <v>492</v>
      </c>
      <c r="E343" s="49" t="s">
        <v>490</v>
      </c>
      <c r="F343" s="2" t="s">
        <v>75</v>
      </c>
      <c r="G343" s="2" t="s">
        <v>103</v>
      </c>
      <c r="H343" s="2" t="s">
        <v>90</v>
      </c>
      <c r="I343" s="2"/>
      <c r="J343" s="2">
        <v>1</v>
      </c>
    </row>
    <row r="344" spans="2:10">
      <c r="B344" s="2">
        <v>101</v>
      </c>
      <c r="C344" s="2" t="s">
        <v>1</v>
      </c>
      <c r="D344" s="2" t="s">
        <v>492</v>
      </c>
      <c r="E344" s="49" t="s">
        <v>490</v>
      </c>
      <c r="F344" s="2" t="s">
        <v>70</v>
      </c>
      <c r="G344" s="2" t="s">
        <v>103</v>
      </c>
      <c r="H344" s="2" t="s">
        <v>90</v>
      </c>
      <c r="I344" s="2"/>
      <c r="J344" s="2">
        <v>1</v>
      </c>
    </row>
    <row r="345" spans="2:10">
      <c r="B345" s="2">
        <v>101</v>
      </c>
      <c r="C345" s="2" t="s">
        <v>1</v>
      </c>
      <c r="D345" s="2" t="s">
        <v>492</v>
      </c>
      <c r="E345" s="49" t="s">
        <v>490</v>
      </c>
      <c r="F345" s="2" t="s">
        <v>72</v>
      </c>
      <c r="G345" s="2" t="s">
        <v>102</v>
      </c>
      <c r="H345" s="2" t="s">
        <v>90</v>
      </c>
      <c r="I345" s="2"/>
      <c r="J345" s="2">
        <v>2</v>
      </c>
    </row>
    <row r="346" spans="2:10">
      <c r="B346" s="2">
        <v>101</v>
      </c>
      <c r="C346" s="2" t="s">
        <v>1</v>
      </c>
      <c r="D346" s="2" t="s">
        <v>492</v>
      </c>
      <c r="E346" s="49" t="s">
        <v>490</v>
      </c>
      <c r="F346" s="2" t="s">
        <v>72</v>
      </c>
      <c r="G346" s="2" t="s">
        <v>102</v>
      </c>
      <c r="H346" s="2" t="s">
        <v>91</v>
      </c>
      <c r="I346" s="2"/>
      <c r="J346" s="2">
        <v>1</v>
      </c>
    </row>
    <row r="347" spans="2:10">
      <c r="B347" s="2">
        <v>102</v>
      </c>
      <c r="C347" s="2" t="s">
        <v>47</v>
      </c>
      <c r="D347" s="2" t="s">
        <v>492</v>
      </c>
      <c r="E347" s="49" t="s">
        <v>99</v>
      </c>
      <c r="F347" s="2" t="s">
        <v>72</v>
      </c>
      <c r="G347" s="2" t="s">
        <v>104</v>
      </c>
      <c r="H347" s="2" t="s">
        <v>91</v>
      </c>
      <c r="I347" s="2"/>
      <c r="J347" s="2">
        <v>1</v>
      </c>
    </row>
    <row r="348" spans="2:10">
      <c r="B348" s="2">
        <v>103</v>
      </c>
      <c r="C348" s="2" t="s">
        <v>47</v>
      </c>
      <c r="D348" s="2" t="s">
        <v>492</v>
      </c>
      <c r="E348" s="49" t="s">
        <v>99</v>
      </c>
      <c r="F348" s="2" t="s">
        <v>74</v>
      </c>
      <c r="G348" s="2" t="s">
        <v>105</v>
      </c>
      <c r="H348" s="2" t="s">
        <v>91</v>
      </c>
      <c r="I348" s="2"/>
      <c r="J348" s="2">
        <v>1</v>
      </c>
    </row>
    <row r="349" spans="2:10">
      <c r="B349" s="2">
        <v>104</v>
      </c>
      <c r="C349" s="2" t="s">
        <v>47</v>
      </c>
      <c r="D349" s="2" t="s">
        <v>492</v>
      </c>
      <c r="E349" s="2" t="s">
        <v>99</v>
      </c>
      <c r="F349" s="2" t="s">
        <v>15</v>
      </c>
      <c r="G349" s="2" t="s">
        <v>104</v>
      </c>
      <c r="H349" s="2" t="s">
        <v>89</v>
      </c>
      <c r="I349" s="2"/>
      <c r="J349" s="2">
        <v>1</v>
      </c>
    </row>
    <row r="350" spans="2:10">
      <c r="B350" s="2">
        <v>105</v>
      </c>
      <c r="C350" s="2" t="s">
        <v>47</v>
      </c>
      <c r="D350" s="2" t="s">
        <v>492</v>
      </c>
      <c r="E350" s="2" t="s">
        <v>100</v>
      </c>
      <c r="F350" s="2" t="s">
        <v>77</v>
      </c>
      <c r="G350" s="2" t="s">
        <v>105</v>
      </c>
      <c r="H350" s="2" t="s">
        <v>89</v>
      </c>
      <c r="I350" s="2"/>
      <c r="J350" s="2">
        <v>1</v>
      </c>
    </row>
    <row r="351" spans="2:10">
      <c r="B351" s="2">
        <v>106</v>
      </c>
      <c r="C351" s="2" t="s">
        <v>1</v>
      </c>
      <c r="D351" s="2" t="s">
        <v>53</v>
      </c>
      <c r="E351" s="35" t="s">
        <v>490</v>
      </c>
      <c r="F351" s="2" t="s">
        <v>15</v>
      </c>
      <c r="G351" s="2" t="s">
        <v>81</v>
      </c>
      <c r="H351" s="2" t="s">
        <v>80</v>
      </c>
      <c r="I351" s="2"/>
      <c r="J351" s="2">
        <v>1</v>
      </c>
    </row>
    <row r="352" spans="2:10">
      <c r="B352" s="2">
        <v>106</v>
      </c>
      <c r="C352" s="2" t="s">
        <v>1</v>
      </c>
      <c r="D352" s="2" t="s">
        <v>53</v>
      </c>
      <c r="E352" s="35" t="s">
        <v>490</v>
      </c>
      <c r="F352" s="2" t="s">
        <v>15</v>
      </c>
      <c r="G352" s="2" t="s">
        <v>81</v>
      </c>
      <c r="H352" s="2" t="s">
        <v>84</v>
      </c>
      <c r="I352" s="2"/>
      <c r="J352" s="2">
        <v>1</v>
      </c>
    </row>
    <row r="353" spans="2:10">
      <c r="B353" s="2">
        <v>106</v>
      </c>
      <c r="C353" s="2" t="s">
        <v>1</v>
      </c>
      <c r="D353" s="2" t="s">
        <v>53</v>
      </c>
      <c r="E353" s="35" t="s">
        <v>490</v>
      </c>
      <c r="F353" s="2" t="s">
        <v>15</v>
      </c>
      <c r="G353" s="2" t="s">
        <v>103</v>
      </c>
      <c r="H353" s="2" t="s">
        <v>90</v>
      </c>
      <c r="I353" s="2"/>
      <c r="J353" s="2">
        <v>1</v>
      </c>
    </row>
    <row r="354" spans="2:10">
      <c r="B354" s="2">
        <v>106</v>
      </c>
      <c r="C354" s="2" t="s">
        <v>1</v>
      </c>
      <c r="D354" s="2" t="s">
        <v>53</v>
      </c>
      <c r="E354" s="35" t="s">
        <v>490</v>
      </c>
      <c r="F354" s="2" t="s">
        <v>15</v>
      </c>
      <c r="G354" s="2" t="s">
        <v>102</v>
      </c>
      <c r="H354" s="2" t="s">
        <v>92</v>
      </c>
      <c r="I354" s="2"/>
      <c r="J354" s="2">
        <v>1</v>
      </c>
    </row>
    <row r="355" spans="2:10">
      <c r="B355" s="2">
        <v>107</v>
      </c>
      <c r="C355" s="2" t="s">
        <v>47</v>
      </c>
      <c r="D355" s="2" t="s">
        <v>492</v>
      </c>
      <c r="E355" s="2" t="s">
        <v>100</v>
      </c>
      <c r="F355" s="2" t="s">
        <v>72</v>
      </c>
      <c r="G355" s="2" t="s">
        <v>104</v>
      </c>
      <c r="H355" s="2" t="s">
        <v>91</v>
      </c>
      <c r="I355" s="2"/>
      <c r="J355" s="2">
        <v>1</v>
      </c>
    </row>
    <row r="356" spans="2:10">
      <c r="B356" s="2">
        <v>108</v>
      </c>
      <c r="C356" s="2" t="s">
        <v>1</v>
      </c>
      <c r="D356" s="2" t="s">
        <v>492</v>
      </c>
      <c r="E356" s="35" t="s">
        <v>490</v>
      </c>
      <c r="F356" s="2" t="s">
        <v>71</v>
      </c>
      <c r="G356" s="2" t="s">
        <v>102</v>
      </c>
      <c r="H356" s="2" t="s">
        <v>87</v>
      </c>
      <c r="I356" s="2"/>
      <c r="J356" s="2">
        <v>1</v>
      </c>
    </row>
    <row r="357" spans="2:10">
      <c r="B357" s="2">
        <v>108</v>
      </c>
      <c r="C357" s="2" t="s">
        <v>1</v>
      </c>
      <c r="D357" s="2" t="s">
        <v>492</v>
      </c>
      <c r="E357" s="35" t="s">
        <v>490</v>
      </c>
      <c r="F357" s="2" t="s">
        <v>71</v>
      </c>
      <c r="G357" s="2" t="s">
        <v>103</v>
      </c>
      <c r="H357" s="2" t="s">
        <v>89</v>
      </c>
      <c r="I357" s="2"/>
      <c r="J357" s="2">
        <v>12</v>
      </c>
    </row>
    <row r="358" spans="2:10">
      <c r="B358" s="2">
        <v>108</v>
      </c>
      <c r="C358" s="2" t="s">
        <v>1</v>
      </c>
      <c r="D358" s="2" t="s">
        <v>492</v>
      </c>
      <c r="E358" s="35" t="s">
        <v>490</v>
      </c>
      <c r="F358" s="2" t="s">
        <v>71</v>
      </c>
      <c r="G358" s="2" t="s">
        <v>103</v>
      </c>
      <c r="H358" s="2" t="s">
        <v>90</v>
      </c>
      <c r="I358" s="2"/>
      <c r="J358" s="2">
        <v>4</v>
      </c>
    </row>
    <row r="359" spans="2:10">
      <c r="B359" s="2">
        <v>108</v>
      </c>
      <c r="C359" s="2" t="s">
        <v>1</v>
      </c>
      <c r="D359" s="2" t="s">
        <v>492</v>
      </c>
      <c r="E359" s="35" t="s">
        <v>490</v>
      </c>
      <c r="F359" s="2" t="s">
        <v>71</v>
      </c>
      <c r="G359" s="2" t="s">
        <v>103</v>
      </c>
      <c r="H359" s="2" t="s">
        <v>91</v>
      </c>
      <c r="I359" s="2"/>
      <c r="J359" s="2">
        <v>3</v>
      </c>
    </row>
    <row r="360" spans="2:10">
      <c r="B360" s="2">
        <v>108</v>
      </c>
      <c r="C360" s="2" t="s">
        <v>1</v>
      </c>
      <c r="D360" s="2" t="s">
        <v>492</v>
      </c>
      <c r="E360" s="35" t="s">
        <v>490</v>
      </c>
      <c r="F360" s="2" t="s">
        <v>71</v>
      </c>
      <c r="G360" s="2" t="s">
        <v>103</v>
      </c>
      <c r="H360" s="2" t="s">
        <v>92</v>
      </c>
      <c r="I360" s="2"/>
      <c r="J360" s="2">
        <v>1</v>
      </c>
    </row>
    <row r="361" spans="2:10">
      <c r="B361" s="2">
        <v>108</v>
      </c>
      <c r="C361" s="2" t="s">
        <v>1</v>
      </c>
      <c r="D361" s="2" t="s">
        <v>492</v>
      </c>
      <c r="E361" s="35" t="s">
        <v>490</v>
      </c>
      <c r="F361" s="2" t="s">
        <v>72</v>
      </c>
      <c r="G361" s="2" t="s">
        <v>102</v>
      </c>
      <c r="H361" s="2" t="s">
        <v>89</v>
      </c>
      <c r="I361" s="2"/>
      <c r="J361" s="2">
        <v>8</v>
      </c>
    </row>
    <row r="362" spans="2:10">
      <c r="B362" s="2">
        <v>108</v>
      </c>
      <c r="C362" s="2" t="s">
        <v>1</v>
      </c>
      <c r="D362" s="2" t="s">
        <v>492</v>
      </c>
      <c r="E362" s="35" t="s">
        <v>490</v>
      </c>
      <c r="F362" s="2" t="s">
        <v>72</v>
      </c>
      <c r="G362" s="2" t="s">
        <v>102</v>
      </c>
      <c r="H362" s="2" t="s">
        <v>90</v>
      </c>
      <c r="I362" s="2"/>
      <c r="J362" s="2">
        <v>5</v>
      </c>
    </row>
    <row r="363" spans="2:10">
      <c r="B363" s="2">
        <v>108</v>
      </c>
      <c r="C363" s="2" t="s">
        <v>1</v>
      </c>
      <c r="D363" s="2" t="s">
        <v>492</v>
      </c>
      <c r="E363" s="35" t="s">
        <v>490</v>
      </c>
      <c r="F363" s="2" t="s">
        <v>72</v>
      </c>
      <c r="G363" s="2" t="s">
        <v>102</v>
      </c>
      <c r="H363" s="2" t="s">
        <v>91</v>
      </c>
      <c r="I363" s="2"/>
      <c r="J363" s="2">
        <v>2</v>
      </c>
    </row>
    <row r="364" spans="2:10">
      <c r="B364" s="2">
        <v>109</v>
      </c>
      <c r="C364" s="2" t="s">
        <v>1</v>
      </c>
      <c r="D364" s="2" t="s">
        <v>53</v>
      </c>
      <c r="E364" s="35" t="s">
        <v>491</v>
      </c>
      <c r="F364" s="2" t="s">
        <v>15</v>
      </c>
      <c r="G364" s="2" t="s">
        <v>103</v>
      </c>
      <c r="H364" s="2" t="s">
        <v>90</v>
      </c>
      <c r="I364" s="2"/>
      <c r="J364" s="2">
        <v>1</v>
      </c>
    </row>
    <row r="365" spans="2:10">
      <c r="B365" s="2">
        <v>109</v>
      </c>
      <c r="C365" s="2" t="s">
        <v>1</v>
      </c>
      <c r="D365" s="2" t="s">
        <v>53</v>
      </c>
      <c r="E365" s="35" t="s">
        <v>491</v>
      </c>
      <c r="F365" s="2" t="s">
        <v>15</v>
      </c>
      <c r="G365" s="2" t="s">
        <v>102</v>
      </c>
      <c r="H365" s="2" t="s">
        <v>91</v>
      </c>
      <c r="I365" s="2"/>
      <c r="J365" s="2">
        <v>1</v>
      </c>
    </row>
    <row r="366" spans="2:10">
      <c r="B366" s="2">
        <v>110</v>
      </c>
      <c r="C366" s="2" t="s">
        <v>47</v>
      </c>
      <c r="D366" s="2" t="s">
        <v>492</v>
      </c>
      <c r="E366" s="2" t="s">
        <v>99</v>
      </c>
      <c r="F366" s="2" t="s">
        <v>73</v>
      </c>
      <c r="G366" s="2" t="s">
        <v>105</v>
      </c>
      <c r="H366" s="2" t="s">
        <v>89</v>
      </c>
      <c r="I366" s="2"/>
      <c r="J366" s="2">
        <v>1</v>
      </c>
    </row>
    <row r="367" spans="2:10">
      <c r="B367" s="2">
        <v>111</v>
      </c>
      <c r="C367" s="2" t="s">
        <v>47</v>
      </c>
      <c r="D367" s="2" t="s">
        <v>492</v>
      </c>
      <c r="E367" s="49" t="s">
        <v>99</v>
      </c>
      <c r="F367" s="2" t="s">
        <v>15</v>
      </c>
      <c r="G367" s="2" t="s">
        <v>104</v>
      </c>
      <c r="H367" s="2" t="s">
        <v>89</v>
      </c>
      <c r="I367" s="2"/>
      <c r="J367" s="2">
        <v>1</v>
      </c>
    </row>
    <row r="368" spans="2:10">
      <c r="B368" s="2">
        <v>112</v>
      </c>
      <c r="C368" s="2" t="s">
        <v>47</v>
      </c>
      <c r="D368" s="2" t="s">
        <v>492</v>
      </c>
      <c r="E368" s="49" t="s">
        <v>100</v>
      </c>
      <c r="F368" s="2" t="s">
        <v>77</v>
      </c>
      <c r="G368" s="2" t="s">
        <v>105</v>
      </c>
      <c r="H368" s="2" t="s">
        <v>89</v>
      </c>
      <c r="I368" s="2"/>
      <c r="J368" s="2">
        <v>1</v>
      </c>
    </row>
    <row r="369" spans="2:10">
      <c r="B369" s="2">
        <v>113</v>
      </c>
      <c r="C369" s="2" t="s">
        <v>1</v>
      </c>
      <c r="D369" s="2" t="s">
        <v>53</v>
      </c>
      <c r="E369" s="49" t="s">
        <v>490</v>
      </c>
      <c r="F369" s="2" t="s">
        <v>15</v>
      </c>
      <c r="G369" s="2" t="s">
        <v>81</v>
      </c>
      <c r="H369" s="2" t="s">
        <v>80</v>
      </c>
      <c r="I369" s="2"/>
      <c r="J369" s="2">
        <v>1</v>
      </c>
    </row>
    <row r="370" spans="2:10">
      <c r="B370" s="2">
        <v>113</v>
      </c>
      <c r="C370" s="2" t="s">
        <v>1</v>
      </c>
      <c r="D370" s="2" t="s">
        <v>53</v>
      </c>
      <c r="E370" s="49" t="s">
        <v>490</v>
      </c>
      <c r="F370" s="2" t="s">
        <v>15</v>
      </c>
      <c r="G370" s="2" t="s">
        <v>81</v>
      </c>
      <c r="H370" s="2" t="s">
        <v>84</v>
      </c>
      <c r="I370" s="2"/>
      <c r="J370" s="2">
        <v>1</v>
      </c>
    </row>
    <row r="371" spans="2:10">
      <c r="B371" s="2">
        <v>113</v>
      </c>
      <c r="C371" s="2" t="s">
        <v>1</v>
      </c>
      <c r="D371" s="2" t="s">
        <v>53</v>
      </c>
      <c r="E371" s="49" t="s">
        <v>490</v>
      </c>
      <c r="F371" s="2" t="s">
        <v>15</v>
      </c>
      <c r="G371" s="2" t="s">
        <v>103</v>
      </c>
      <c r="H371" s="2" t="s">
        <v>90</v>
      </c>
      <c r="I371" s="2"/>
      <c r="J371" s="2">
        <v>1</v>
      </c>
    </row>
    <row r="372" spans="2:10">
      <c r="B372" s="2">
        <v>113</v>
      </c>
      <c r="C372" s="2" t="s">
        <v>1</v>
      </c>
      <c r="D372" s="2" t="s">
        <v>53</v>
      </c>
      <c r="E372" s="49" t="s">
        <v>490</v>
      </c>
      <c r="F372" s="2" t="s">
        <v>15</v>
      </c>
      <c r="G372" s="2" t="s">
        <v>102</v>
      </c>
      <c r="H372" s="2" t="s">
        <v>92</v>
      </c>
      <c r="I372" s="2"/>
      <c r="J372" s="2">
        <v>1</v>
      </c>
    </row>
    <row r="373" spans="2:10">
      <c r="B373" s="2">
        <v>114</v>
      </c>
      <c r="C373" s="2" t="s">
        <v>47</v>
      </c>
      <c r="D373" s="2" t="s">
        <v>492</v>
      </c>
      <c r="E373" s="49" t="s">
        <v>100</v>
      </c>
      <c r="F373" s="2" t="s">
        <v>72</v>
      </c>
      <c r="G373" s="2" t="s">
        <v>104</v>
      </c>
      <c r="H373" s="2" t="s">
        <v>91</v>
      </c>
      <c r="I373" s="2"/>
      <c r="J373" s="2">
        <v>1</v>
      </c>
    </row>
    <row r="374" spans="2:10">
      <c r="B374" s="2">
        <v>115</v>
      </c>
      <c r="C374" s="2" t="s">
        <v>1</v>
      </c>
      <c r="D374" s="2" t="s">
        <v>492</v>
      </c>
      <c r="E374" s="49" t="s">
        <v>490</v>
      </c>
      <c r="F374" s="2" t="s">
        <v>71</v>
      </c>
      <c r="G374" s="2" t="s">
        <v>102</v>
      </c>
      <c r="H374" s="2" t="s">
        <v>87</v>
      </c>
      <c r="I374" s="2"/>
      <c r="J374" s="2">
        <v>1</v>
      </c>
    </row>
    <row r="375" spans="2:10">
      <c r="B375" s="2">
        <v>115</v>
      </c>
      <c r="C375" s="2" t="s">
        <v>1</v>
      </c>
      <c r="D375" s="2" t="s">
        <v>492</v>
      </c>
      <c r="E375" s="49" t="s">
        <v>490</v>
      </c>
      <c r="F375" s="2" t="s">
        <v>71</v>
      </c>
      <c r="G375" s="2" t="s">
        <v>103</v>
      </c>
      <c r="H375" s="2" t="s">
        <v>89</v>
      </c>
      <c r="I375" s="2"/>
      <c r="J375" s="2">
        <v>12</v>
      </c>
    </row>
    <row r="376" spans="2:10">
      <c r="B376" s="2">
        <v>115</v>
      </c>
      <c r="C376" s="2" t="s">
        <v>1</v>
      </c>
      <c r="D376" s="2" t="s">
        <v>492</v>
      </c>
      <c r="E376" s="49" t="s">
        <v>490</v>
      </c>
      <c r="F376" s="2" t="s">
        <v>71</v>
      </c>
      <c r="G376" s="2" t="s">
        <v>103</v>
      </c>
      <c r="H376" s="2" t="s">
        <v>90</v>
      </c>
      <c r="I376" s="2"/>
      <c r="J376" s="2">
        <v>4</v>
      </c>
    </row>
    <row r="377" spans="2:10">
      <c r="B377" s="2">
        <v>115</v>
      </c>
      <c r="C377" s="2" t="s">
        <v>1</v>
      </c>
      <c r="D377" s="2" t="s">
        <v>492</v>
      </c>
      <c r="E377" s="49" t="s">
        <v>490</v>
      </c>
      <c r="F377" s="2" t="s">
        <v>71</v>
      </c>
      <c r="G377" s="2" t="s">
        <v>103</v>
      </c>
      <c r="H377" s="2" t="s">
        <v>91</v>
      </c>
      <c r="I377" s="2"/>
      <c r="J377" s="2">
        <v>3</v>
      </c>
    </row>
    <row r="378" spans="2:10">
      <c r="B378" s="2">
        <v>115</v>
      </c>
      <c r="C378" s="2" t="s">
        <v>1</v>
      </c>
      <c r="D378" s="2" t="s">
        <v>492</v>
      </c>
      <c r="E378" s="49" t="s">
        <v>490</v>
      </c>
      <c r="F378" s="2" t="s">
        <v>71</v>
      </c>
      <c r="G378" s="2" t="s">
        <v>103</v>
      </c>
      <c r="H378" s="2" t="s">
        <v>92</v>
      </c>
      <c r="I378" s="2"/>
      <c r="J378" s="2">
        <v>1</v>
      </c>
    </row>
    <row r="379" spans="2:10">
      <c r="B379" s="2">
        <v>115</v>
      </c>
      <c r="C379" s="2" t="s">
        <v>1</v>
      </c>
      <c r="D379" s="2" t="s">
        <v>492</v>
      </c>
      <c r="E379" s="49" t="s">
        <v>490</v>
      </c>
      <c r="F379" s="2" t="s">
        <v>72</v>
      </c>
      <c r="G379" s="2" t="s">
        <v>102</v>
      </c>
      <c r="H379" s="2" t="s">
        <v>89</v>
      </c>
      <c r="I379" s="2"/>
      <c r="J379" s="2">
        <v>8</v>
      </c>
    </row>
    <row r="380" spans="2:10">
      <c r="B380" s="2">
        <v>115</v>
      </c>
      <c r="C380" s="2" t="s">
        <v>1</v>
      </c>
      <c r="D380" s="2" t="s">
        <v>492</v>
      </c>
      <c r="E380" s="49" t="s">
        <v>490</v>
      </c>
      <c r="F380" s="2" t="s">
        <v>72</v>
      </c>
      <c r="G380" s="2" t="s">
        <v>102</v>
      </c>
      <c r="H380" s="2" t="s">
        <v>90</v>
      </c>
      <c r="I380" s="2"/>
      <c r="J380" s="2">
        <v>5</v>
      </c>
    </row>
    <row r="381" spans="2:10">
      <c r="B381" s="2">
        <v>115</v>
      </c>
      <c r="C381" s="2" t="s">
        <v>1</v>
      </c>
      <c r="D381" s="2" t="s">
        <v>492</v>
      </c>
      <c r="E381" s="49" t="s">
        <v>490</v>
      </c>
      <c r="F381" s="2" t="s">
        <v>72</v>
      </c>
      <c r="G381" s="2" t="s">
        <v>102</v>
      </c>
      <c r="H381" s="2" t="s">
        <v>91</v>
      </c>
      <c r="I381" s="2"/>
      <c r="J381" s="2">
        <v>2</v>
      </c>
    </row>
    <row r="382" spans="2:10">
      <c r="B382" s="2">
        <v>116</v>
      </c>
      <c r="C382" s="2" t="s">
        <v>1</v>
      </c>
      <c r="D382" s="2" t="s">
        <v>53</v>
      </c>
      <c r="E382" s="49" t="s">
        <v>491</v>
      </c>
      <c r="F382" s="2" t="s">
        <v>15</v>
      </c>
      <c r="G382" s="2" t="s">
        <v>103</v>
      </c>
      <c r="H382" s="2" t="s">
        <v>90</v>
      </c>
      <c r="I382" s="2"/>
      <c r="J382" s="2">
        <v>1</v>
      </c>
    </row>
    <row r="383" spans="2:10">
      <c r="B383" s="2">
        <v>116</v>
      </c>
      <c r="C383" s="2" t="s">
        <v>1</v>
      </c>
      <c r="D383" s="2" t="s">
        <v>53</v>
      </c>
      <c r="E383" s="49" t="s">
        <v>491</v>
      </c>
      <c r="F383" s="2" t="s">
        <v>15</v>
      </c>
      <c r="G383" s="2" t="s">
        <v>102</v>
      </c>
      <c r="H383" s="2" t="s">
        <v>91</v>
      </c>
      <c r="I383" s="2"/>
      <c r="J383" s="2">
        <v>1</v>
      </c>
    </row>
    <row r="384" spans="2:10">
      <c r="B384" s="2">
        <v>117</v>
      </c>
      <c r="C384" s="2" t="s">
        <v>47</v>
      </c>
      <c r="D384" s="2" t="s">
        <v>492</v>
      </c>
      <c r="E384" s="49" t="s">
        <v>99</v>
      </c>
      <c r="F384" s="2" t="s">
        <v>73</v>
      </c>
      <c r="G384" s="2" t="s">
        <v>105</v>
      </c>
      <c r="H384" s="2" t="s">
        <v>89</v>
      </c>
      <c r="I384" s="2"/>
      <c r="J384" s="2">
        <v>1</v>
      </c>
    </row>
    <row r="385" spans="2:10">
      <c r="B385" s="2">
        <v>118</v>
      </c>
      <c r="C385" s="2" t="s">
        <v>47</v>
      </c>
      <c r="D385" s="2" t="s">
        <v>492</v>
      </c>
      <c r="E385" s="2" t="s">
        <v>99</v>
      </c>
      <c r="F385" s="2" t="s">
        <v>72</v>
      </c>
      <c r="G385" s="2" t="s">
        <v>104</v>
      </c>
      <c r="H385" s="2" t="s">
        <v>89</v>
      </c>
      <c r="I385" s="2"/>
      <c r="J385" s="2">
        <v>1</v>
      </c>
    </row>
    <row r="386" spans="2:10">
      <c r="B386" s="2">
        <v>119</v>
      </c>
      <c r="C386" s="2" t="s">
        <v>47</v>
      </c>
      <c r="D386" s="2" t="s">
        <v>492</v>
      </c>
      <c r="E386" s="2" t="s">
        <v>100</v>
      </c>
      <c r="F386" s="2" t="s">
        <v>72</v>
      </c>
      <c r="G386" s="2" t="s">
        <v>104</v>
      </c>
      <c r="H386" s="2" t="s">
        <v>89</v>
      </c>
      <c r="I386" s="2"/>
      <c r="J386" s="2">
        <v>1</v>
      </c>
    </row>
    <row r="387" spans="2:10">
      <c r="B387" s="2">
        <v>119</v>
      </c>
      <c r="C387" s="2" t="s">
        <v>47</v>
      </c>
      <c r="D387" s="2" t="s">
        <v>492</v>
      </c>
      <c r="E387" s="2" t="s">
        <v>100</v>
      </c>
      <c r="F387" s="2" t="s">
        <v>72</v>
      </c>
      <c r="G387" s="2" t="s">
        <v>104</v>
      </c>
      <c r="H387" s="2" t="s">
        <v>90</v>
      </c>
      <c r="I387" s="2"/>
      <c r="J387" s="2">
        <v>1</v>
      </c>
    </row>
    <row r="388" spans="2:10">
      <c r="B388" s="2">
        <v>120</v>
      </c>
      <c r="C388" s="2" t="s">
        <v>47</v>
      </c>
      <c r="D388" s="2" t="s">
        <v>492</v>
      </c>
      <c r="E388" s="2" t="s">
        <v>99</v>
      </c>
      <c r="F388" s="2" t="s">
        <v>15</v>
      </c>
      <c r="G388" s="2" t="s">
        <v>104</v>
      </c>
      <c r="H388" s="2" t="s">
        <v>91</v>
      </c>
      <c r="I388" s="2"/>
      <c r="J388" s="2">
        <v>2</v>
      </c>
    </row>
    <row r="389" spans="2:10">
      <c r="B389" s="2">
        <v>121</v>
      </c>
      <c r="C389" s="2" t="s">
        <v>47</v>
      </c>
      <c r="D389" s="2" t="s">
        <v>492</v>
      </c>
      <c r="E389" s="49" t="s">
        <v>99</v>
      </c>
      <c r="F389" s="2" t="s">
        <v>72</v>
      </c>
      <c r="G389" s="2" t="s">
        <v>104</v>
      </c>
      <c r="H389" s="2" t="s">
        <v>89</v>
      </c>
      <c r="I389" s="2"/>
      <c r="J389" s="2">
        <v>1</v>
      </c>
    </row>
    <row r="390" spans="2:10">
      <c r="B390" s="2">
        <v>122</v>
      </c>
      <c r="C390" s="2" t="s">
        <v>47</v>
      </c>
      <c r="D390" s="2" t="s">
        <v>492</v>
      </c>
      <c r="E390" s="49" t="s">
        <v>100</v>
      </c>
      <c r="F390" s="2" t="s">
        <v>72</v>
      </c>
      <c r="G390" s="2" t="s">
        <v>104</v>
      </c>
      <c r="H390" s="2" t="s">
        <v>89</v>
      </c>
      <c r="I390" s="2"/>
      <c r="J390" s="2">
        <v>1</v>
      </c>
    </row>
    <row r="391" spans="2:10">
      <c r="B391" s="2">
        <v>122</v>
      </c>
      <c r="C391" s="2" t="s">
        <v>47</v>
      </c>
      <c r="D391" s="2" t="s">
        <v>492</v>
      </c>
      <c r="E391" s="49" t="s">
        <v>100</v>
      </c>
      <c r="F391" s="2" t="s">
        <v>72</v>
      </c>
      <c r="G391" s="2" t="s">
        <v>104</v>
      </c>
      <c r="H391" s="2" t="s">
        <v>90</v>
      </c>
      <c r="I391" s="2"/>
      <c r="J391" s="2">
        <v>1</v>
      </c>
    </row>
    <row r="392" spans="2:10">
      <c r="B392" s="2">
        <v>123</v>
      </c>
      <c r="C392" s="2" t="s">
        <v>47</v>
      </c>
      <c r="D392" s="2" t="s">
        <v>492</v>
      </c>
      <c r="E392" s="49" t="s">
        <v>99</v>
      </c>
      <c r="F392" s="2" t="s">
        <v>15</v>
      </c>
      <c r="G392" s="2" t="s">
        <v>104</v>
      </c>
      <c r="H392" s="2" t="s">
        <v>91</v>
      </c>
      <c r="I392" s="2"/>
      <c r="J392" s="2">
        <v>2</v>
      </c>
    </row>
    <row r="393" spans="2:10">
      <c r="B393" s="2">
        <v>124</v>
      </c>
      <c r="C393" s="2" t="s">
        <v>1</v>
      </c>
      <c r="D393" s="2" t="s">
        <v>492</v>
      </c>
      <c r="E393" s="35" t="s">
        <v>490</v>
      </c>
      <c r="F393" s="2" t="s">
        <v>15</v>
      </c>
      <c r="G393" s="2" t="s">
        <v>103</v>
      </c>
      <c r="H393" s="2" t="s">
        <v>90</v>
      </c>
      <c r="I393" s="2"/>
      <c r="J393" s="2">
        <v>4</v>
      </c>
    </row>
    <row r="394" spans="2:10">
      <c r="B394" s="2">
        <v>124</v>
      </c>
      <c r="C394" s="2" t="s">
        <v>1</v>
      </c>
      <c r="D394" s="2" t="s">
        <v>492</v>
      </c>
      <c r="E394" s="35" t="s">
        <v>490</v>
      </c>
      <c r="F394" s="2" t="s">
        <v>15</v>
      </c>
      <c r="G394" s="2" t="s">
        <v>103</v>
      </c>
      <c r="H394" s="2" t="s">
        <v>91</v>
      </c>
      <c r="I394" s="2"/>
      <c r="J394" s="2">
        <v>1</v>
      </c>
    </row>
    <row r="395" spans="2:10">
      <c r="B395" s="2">
        <v>124</v>
      </c>
      <c r="C395" s="2" t="s">
        <v>1</v>
      </c>
      <c r="D395" s="2" t="s">
        <v>492</v>
      </c>
      <c r="E395" s="35" t="s">
        <v>490</v>
      </c>
      <c r="F395" s="2" t="s">
        <v>15</v>
      </c>
      <c r="G395" s="2" t="s">
        <v>103</v>
      </c>
      <c r="H395" s="2" t="s">
        <v>92</v>
      </c>
      <c r="I395" s="2"/>
      <c r="J395" s="2">
        <v>1</v>
      </c>
    </row>
    <row r="396" spans="2:10">
      <c r="B396" s="2">
        <v>124</v>
      </c>
      <c r="C396" s="2" t="s">
        <v>1</v>
      </c>
      <c r="D396" s="2" t="s">
        <v>492</v>
      </c>
      <c r="E396" s="35" t="s">
        <v>490</v>
      </c>
      <c r="F396" s="2" t="s">
        <v>15</v>
      </c>
      <c r="G396" s="2" t="s">
        <v>102</v>
      </c>
      <c r="H396" s="2" t="s">
        <v>91</v>
      </c>
      <c r="I396" s="2"/>
      <c r="J396" s="2">
        <v>4</v>
      </c>
    </row>
    <row r="397" spans="2:10">
      <c r="B397" s="2">
        <v>125</v>
      </c>
      <c r="C397" s="2" t="s">
        <v>1</v>
      </c>
      <c r="D397" s="2" t="s">
        <v>492</v>
      </c>
      <c r="E397" s="35" t="s">
        <v>490</v>
      </c>
      <c r="F397" s="2" t="s">
        <v>71</v>
      </c>
      <c r="G397" s="2" t="s">
        <v>103</v>
      </c>
      <c r="H397" s="2" t="s">
        <v>90</v>
      </c>
      <c r="I397" s="2"/>
      <c r="J397" s="2">
        <v>1</v>
      </c>
    </row>
    <row r="398" spans="2:10">
      <c r="B398" s="2">
        <v>125</v>
      </c>
      <c r="C398" s="2" t="s">
        <v>1</v>
      </c>
      <c r="D398" s="2" t="s">
        <v>492</v>
      </c>
      <c r="E398" s="35" t="s">
        <v>490</v>
      </c>
      <c r="F398" s="2" t="s">
        <v>15</v>
      </c>
      <c r="G398" s="2" t="s">
        <v>103</v>
      </c>
      <c r="H398" s="2" t="s">
        <v>90</v>
      </c>
      <c r="I398" s="2"/>
      <c r="J398" s="2">
        <v>1</v>
      </c>
    </row>
    <row r="399" spans="2:10">
      <c r="B399" s="2">
        <v>125</v>
      </c>
      <c r="C399" s="2" t="s">
        <v>1</v>
      </c>
      <c r="D399" s="2" t="s">
        <v>492</v>
      </c>
      <c r="E399" s="35" t="s">
        <v>490</v>
      </c>
      <c r="F399" s="2" t="s">
        <v>70</v>
      </c>
      <c r="G399" s="2" t="s">
        <v>103</v>
      </c>
      <c r="H399" s="2" t="s">
        <v>90</v>
      </c>
      <c r="I399" s="2"/>
      <c r="J399" s="2">
        <v>1</v>
      </c>
    </row>
    <row r="400" spans="2:10">
      <c r="B400" s="2">
        <v>126</v>
      </c>
      <c r="C400" s="2" t="s">
        <v>1</v>
      </c>
      <c r="D400" s="2" t="s">
        <v>492</v>
      </c>
      <c r="E400" s="35" t="s">
        <v>490</v>
      </c>
      <c r="F400" s="2" t="s">
        <v>71</v>
      </c>
      <c r="G400" s="2" t="s">
        <v>103</v>
      </c>
      <c r="H400" s="2" t="s">
        <v>89</v>
      </c>
      <c r="I400" s="2"/>
      <c r="J400" s="2">
        <v>1</v>
      </c>
    </row>
    <row r="401" spans="2:10">
      <c r="B401" s="2">
        <v>126</v>
      </c>
      <c r="C401" s="2" t="s">
        <v>1</v>
      </c>
      <c r="D401" s="2" t="s">
        <v>492</v>
      </c>
      <c r="E401" s="35" t="s">
        <v>490</v>
      </c>
      <c r="F401" s="2" t="s">
        <v>71</v>
      </c>
      <c r="G401" s="2" t="s">
        <v>103</v>
      </c>
      <c r="H401" s="2" t="s">
        <v>90</v>
      </c>
      <c r="I401" s="2"/>
      <c r="J401" s="2">
        <v>1</v>
      </c>
    </row>
    <row r="402" spans="2:10">
      <c r="B402" s="2">
        <v>126</v>
      </c>
      <c r="C402" s="2" t="s">
        <v>1</v>
      </c>
      <c r="D402" s="2" t="s">
        <v>492</v>
      </c>
      <c r="E402" s="35" t="s">
        <v>490</v>
      </c>
      <c r="F402" s="2" t="s">
        <v>71</v>
      </c>
      <c r="G402" s="2" t="s">
        <v>102</v>
      </c>
      <c r="H402" s="2" t="s">
        <v>91</v>
      </c>
      <c r="I402" s="2"/>
      <c r="J402" s="2">
        <v>1</v>
      </c>
    </row>
    <row r="403" spans="2:10">
      <c r="B403" s="2">
        <v>127</v>
      </c>
      <c r="C403" s="2" t="s">
        <v>47</v>
      </c>
      <c r="D403" s="2" t="s">
        <v>492</v>
      </c>
      <c r="E403" s="2" t="s">
        <v>99</v>
      </c>
      <c r="F403" s="2" t="s">
        <v>72</v>
      </c>
      <c r="G403" s="2" t="s">
        <v>104</v>
      </c>
      <c r="H403" s="2" t="s">
        <v>91</v>
      </c>
      <c r="I403" s="2"/>
      <c r="J403" s="2">
        <v>4</v>
      </c>
    </row>
    <row r="404" spans="2:10">
      <c r="B404" s="2">
        <v>127</v>
      </c>
      <c r="C404" s="2" t="s">
        <v>47</v>
      </c>
      <c r="D404" s="2" t="s">
        <v>492</v>
      </c>
      <c r="E404" s="2" t="s">
        <v>99</v>
      </c>
      <c r="F404" s="2" t="s">
        <v>72</v>
      </c>
      <c r="G404" s="2" t="s">
        <v>104</v>
      </c>
      <c r="H404" s="2" t="s">
        <v>92</v>
      </c>
      <c r="I404" s="2"/>
      <c r="J404" s="2">
        <v>1</v>
      </c>
    </row>
    <row r="405" spans="2:10">
      <c r="B405" s="2">
        <v>128</v>
      </c>
      <c r="C405" s="2" t="s">
        <v>47</v>
      </c>
      <c r="D405" s="2" t="s">
        <v>492</v>
      </c>
      <c r="E405" s="2" t="s">
        <v>100</v>
      </c>
      <c r="F405" s="2" t="s">
        <v>72</v>
      </c>
      <c r="G405" s="2" t="s">
        <v>105</v>
      </c>
      <c r="H405" s="2" t="s">
        <v>90</v>
      </c>
      <c r="I405" s="2"/>
      <c r="J405" s="2">
        <v>1</v>
      </c>
    </row>
    <row r="406" spans="2:10">
      <c r="B406" s="2">
        <v>129</v>
      </c>
      <c r="C406" s="2" t="s">
        <v>47</v>
      </c>
      <c r="D406" s="2" t="s">
        <v>492</v>
      </c>
      <c r="E406" s="2" t="s">
        <v>99</v>
      </c>
      <c r="F406" s="2" t="s">
        <v>73</v>
      </c>
      <c r="G406" s="2" t="s">
        <v>104</v>
      </c>
      <c r="H406" s="2" t="s">
        <v>91</v>
      </c>
      <c r="I406" s="2"/>
      <c r="J406" s="2">
        <v>1</v>
      </c>
    </row>
    <row r="407" spans="2:10">
      <c r="B407" s="2">
        <v>130</v>
      </c>
      <c r="C407" s="2" t="s">
        <v>1</v>
      </c>
      <c r="D407" s="2" t="s">
        <v>492</v>
      </c>
      <c r="E407" s="49" t="s">
        <v>490</v>
      </c>
      <c r="F407" s="2" t="s">
        <v>15</v>
      </c>
      <c r="G407" s="2" t="s">
        <v>103</v>
      </c>
      <c r="H407" s="2" t="s">
        <v>90</v>
      </c>
      <c r="I407" s="2"/>
      <c r="J407" s="2">
        <v>4</v>
      </c>
    </row>
    <row r="408" spans="2:10">
      <c r="B408" s="2">
        <v>130</v>
      </c>
      <c r="C408" s="2" t="s">
        <v>1</v>
      </c>
      <c r="D408" s="2" t="s">
        <v>492</v>
      </c>
      <c r="E408" s="49" t="s">
        <v>490</v>
      </c>
      <c r="F408" s="2" t="s">
        <v>15</v>
      </c>
      <c r="G408" s="2" t="s">
        <v>103</v>
      </c>
      <c r="H408" s="2" t="s">
        <v>91</v>
      </c>
      <c r="I408" s="2"/>
      <c r="J408" s="2">
        <v>1</v>
      </c>
    </row>
    <row r="409" spans="2:10">
      <c r="B409" s="2">
        <v>130</v>
      </c>
      <c r="C409" s="2" t="s">
        <v>1</v>
      </c>
      <c r="D409" s="2" t="s">
        <v>492</v>
      </c>
      <c r="E409" s="49" t="s">
        <v>490</v>
      </c>
      <c r="F409" s="2" t="s">
        <v>15</v>
      </c>
      <c r="G409" s="2" t="s">
        <v>103</v>
      </c>
      <c r="H409" s="2" t="s">
        <v>92</v>
      </c>
      <c r="I409" s="2"/>
      <c r="J409" s="2">
        <v>1</v>
      </c>
    </row>
    <row r="410" spans="2:10">
      <c r="B410" s="2">
        <v>130</v>
      </c>
      <c r="C410" s="2" t="s">
        <v>1</v>
      </c>
      <c r="D410" s="2" t="s">
        <v>492</v>
      </c>
      <c r="E410" s="49" t="s">
        <v>490</v>
      </c>
      <c r="F410" s="2" t="s">
        <v>15</v>
      </c>
      <c r="G410" s="2" t="s">
        <v>102</v>
      </c>
      <c r="H410" s="2" t="s">
        <v>91</v>
      </c>
      <c r="I410" s="2"/>
      <c r="J410" s="2">
        <v>4</v>
      </c>
    </row>
    <row r="411" spans="2:10">
      <c r="B411" s="2">
        <v>131</v>
      </c>
      <c r="C411" s="2" t="s">
        <v>1</v>
      </c>
      <c r="D411" s="2" t="s">
        <v>492</v>
      </c>
      <c r="E411" s="49" t="s">
        <v>490</v>
      </c>
      <c r="F411" s="2" t="s">
        <v>71</v>
      </c>
      <c r="G411" s="2" t="s">
        <v>103</v>
      </c>
      <c r="H411" s="2" t="s">
        <v>90</v>
      </c>
      <c r="I411" s="2"/>
      <c r="J411" s="2">
        <v>1</v>
      </c>
    </row>
    <row r="412" spans="2:10">
      <c r="B412" s="2">
        <v>131</v>
      </c>
      <c r="C412" s="2" t="s">
        <v>1</v>
      </c>
      <c r="D412" s="2" t="s">
        <v>492</v>
      </c>
      <c r="E412" s="49" t="s">
        <v>490</v>
      </c>
      <c r="F412" s="2" t="s">
        <v>15</v>
      </c>
      <c r="G412" s="2" t="s">
        <v>103</v>
      </c>
      <c r="H412" s="2" t="s">
        <v>90</v>
      </c>
      <c r="I412" s="2"/>
      <c r="J412" s="2">
        <v>1</v>
      </c>
    </row>
    <row r="413" spans="2:10">
      <c r="B413" s="2">
        <v>131</v>
      </c>
      <c r="C413" s="2" t="s">
        <v>1</v>
      </c>
      <c r="D413" s="2" t="s">
        <v>492</v>
      </c>
      <c r="E413" s="49" t="s">
        <v>490</v>
      </c>
      <c r="F413" s="2" t="s">
        <v>70</v>
      </c>
      <c r="G413" s="2" t="s">
        <v>103</v>
      </c>
      <c r="H413" s="2" t="s">
        <v>90</v>
      </c>
      <c r="I413" s="2"/>
      <c r="J413" s="2">
        <v>1</v>
      </c>
    </row>
    <row r="414" spans="2:10">
      <c r="B414" s="2">
        <v>132</v>
      </c>
      <c r="C414" s="2" t="s">
        <v>1</v>
      </c>
      <c r="D414" s="2" t="s">
        <v>492</v>
      </c>
      <c r="E414" s="49" t="s">
        <v>490</v>
      </c>
      <c r="F414" s="2" t="s">
        <v>71</v>
      </c>
      <c r="G414" s="2" t="s">
        <v>103</v>
      </c>
      <c r="H414" s="2" t="s">
        <v>89</v>
      </c>
      <c r="I414" s="2"/>
      <c r="J414" s="2">
        <v>1</v>
      </c>
    </row>
    <row r="415" spans="2:10">
      <c r="B415" s="2">
        <v>132</v>
      </c>
      <c r="C415" s="2" t="s">
        <v>1</v>
      </c>
      <c r="D415" s="2" t="s">
        <v>492</v>
      </c>
      <c r="E415" s="49" t="s">
        <v>490</v>
      </c>
      <c r="F415" s="2" t="s">
        <v>71</v>
      </c>
      <c r="G415" s="2" t="s">
        <v>103</v>
      </c>
      <c r="H415" s="2" t="s">
        <v>90</v>
      </c>
      <c r="I415" s="2"/>
      <c r="J415" s="2">
        <v>1</v>
      </c>
    </row>
    <row r="416" spans="2:10">
      <c r="B416" s="2">
        <v>132</v>
      </c>
      <c r="C416" s="2" t="s">
        <v>1</v>
      </c>
      <c r="D416" s="2" t="s">
        <v>492</v>
      </c>
      <c r="E416" s="49" t="s">
        <v>490</v>
      </c>
      <c r="F416" s="2" t="s">
        <v>71</v>
      </c>
      <c r="G416" s="2" t="s">
        <v>102</v>
      </c>
      <c r="H416" s="2" t="s">
        <v>91</v>
      </c>
      <c r="I416" s="2"/>
      <c r="J416" s="2">
        <v>1</v>
      </c>
    </row>
    <row r="417" spans="2:10">
      <c r="B417" s="2">
        <v>133</v>
      </c>
      <c r="C417" s="2" t="s">
        <v>47</v>
      </c>
      <c r="D417" s="2" t="s">
        <v>492</v>
      </c>
      <c r="E417" s="49" t="s">
        <v>99</v>
      </c>
      <c r="F417" s="2" t="s">
        <v>72</v>
      </c>
      <c r="G417" s="2" t="s">
        <v>104</v>
      </c>
      <c r="H417" s="2" t="s">
        <v>91</v>
      </c>
      <c r="I417" s="2"/>
      <c r="J417" s="2">
        <v>4</v>
      </c>
    </row>
    <row r="418" spans="2:10">
      <c r="B418" s="2">
        <v>133</v>
      </c>
      <c r="C418" s="2" t="s">
        <v>47</v>
      </c>
      <c r="D418" s="2" t="s">
        <v>492</v>
      </c>
      <c r="E418" s="49" t="s">
        <v>99</v>
      </c>
      <c r="F418" s="2" t="s">
        <v>72</v>
      </c>
      <c r="G418" s="2" t="s">
        <v>104</v>
      </c>
      <c r="H418" s="2" t="s">
        <v>92</v>
      </c>
      <c r="I418" s="2"/>
      <c r="J418" s="2">
        <v>1</v>
      </c>
    </row>
    <row r="419" spans="2:10">
      <c r="B419" s="2">
        <v>134</v>
      </c>
      <c r="C419" s="2" t="s">
        <v>47</v>
      </c>
      <c r="D419" s="2" t="s">
        <v>492</v>
      </c>
      <c r="E419" s="49" t="s">
        <v>100</v>
      </c>
      <c r="F419" s="2" t="s">
        <v>72</v>
      </c>
      <c r="G419" s="2" t="s">
        <v>105</v>
      </c>
      <c r="H419" s="2" t="s">
        <v>90</v>
      </c>
      <c r="I419" s="2"/>
      <c r="J419" s="2">
        <v>1</v>
      </c>
    </row>
    <row r="420" spans="2:10">
      <c r="B420" s="2">
        <v>135</v>
      </c>
      <c r="C420" s="2" t="s">
        <v>47</v>
      </c>
      <c r="D420" s="2" t="s">
        <v>492</v>
      </c>
      <c r="E420" s="49" t="s">
        <v>99</v>
      </c>
      <c r="F420" s="2" t="s">
        <v>73</v>
      </c>
      <c r="G420" s="2" t="s">
        <v>104</v>
      </c>
      <c r="H420" s="2" t="s">
        <v>91</v>
      </c>
      <c r="I420" s="2"/>
      <c r="J420" s="2">
        <v>1</v>
      </c>
    </row>
    <row r="421" spans="2:10">
      <c r="B421" s="2">
        <v>136</v>
      </c>
      <c r="C421" s="2" t="s">
        <v>49</v>
      </c>
      <c r="D421" s="2" t="s">
        <v>53</v>
      </c>
      <c r="E421" s="2"/>
      <c r="F421" s="2" t="s">
        <v>72</v>
      </c>
      <c r="G421" s="2"/>
      <c r="H421" s="2" t="s">
        <v>91</v>
      </c>
      <c r="I421" s="2" t="s">
        <v>107</v>
      </c>
      <c r="J421" s="2">
        <v>2</v>
      </c>
    </row>
    <row r="422" spans="2:10">
      <c r="B422" s="2">
        <v>136</v>
      </c>
      <c r="C422" s="2" t="s">
        <v>49</v>
      </c>
      <c r="D422" s="2" t="s">
        <v>53</v>
      </c>
      <c r="E422" s="2"/>
      <c r="F422" s="2" t="s">
        <v>15</v>
      </c>
      <c r="G422" s="2"/>
      <c r="H422" s="2" t="s">
        <v>91</v>
      </c>
      <c r="I422" s="2" t="s">
        <v>107</v>
      </c>
      <c r="J422" s="2">
        <v>1</v>
      </c>
    </row>
    <row r="423" spans="2:10">
      <c r="B423" s="2">
        <v>137</v>
      </c>
      <c r="C423" s="2" t="s">
        <v>1</v>
      </c>
      <c r="D423" s="2" t="s">
        <v>492</v>
      </c>
      <c r="E423" s="35" t="s">
        <v>490</v>
      </c>
      <c r="F423" s="2" t="s">
        <v>15</v>
      </c>
      <c r="G423" s="2" t="s">
        <v>103</v>
      </c>
      <c r="H423" s="2" t="s">
        <v>90</v>
      </c>
      <c r="I423" s="2"/>
      <c r="J423" s="2">
        <v>8</v>
      </c>
    </row>
    <row r="424" spans="2:10">
      <c r="B424" s="2">
        <v>137</v>
      </c>
      <c r="C424" s="2" t="s">
        <v>1</v>
      </c>
      <c r="D424" s="2" t="s">
        <v>492</v>
      </c>
      <c r="E424" s="35" t="s">
        <v>490</v>
      </c>
      <c r="F424" s="2" t="s">
        <v>15</v>
      </c>
      <c r="G424" s="2" t="s">
        <v>103</v>
      </c>
      <c r="H424" s="2" t="s">
        <v>91</v>
      </c>
      <c r="I424" s="2"/>
      <c r="J424" s="2">
        <v>1</v>
      </c>
    </row>
    <row r="425" spans="2:10">
      <c r="B425" s="2">
        <v>138</v>
      </c>
      <c r="C425" s="2" t="s">
        <v>47</v>
      </c>
      <c r="D425" s="2" t="s">
        <v>492</v>
      </c>
      <c r="E425" s="2" t="s">
        <v>99</v>
      </c>
      <c r="F425" s="2" t="s">
        <v>15</v>
      </c>
      <c r="G425" s="2" t="s">
        <v>104</v>
      </c>
      <c r="H425" s="2" t="s">
        <v>90</v>
      </c>
      <c r="I425" s="2"/>
      <c r="J425" s="2">
        <v>1</v>
      </c>
    </row>
    <row r="426" spans="2:10">
      <c r="B426" s="2">
        <v>139</v>
      </c>
      <c r="C426" s="2" t="s">
        <v>49</v>
      </c>
      <c r="D426" s="2" t="s">
        <v>496</v>
      </c>
      <c r="E426" s="49"/>
      <c r="F426" s="2" t="s">
        <v>72</v>
      </c>
      <c r="G426" s="2"/>
      <c r="H426" s="2" t="s">
        <v>91</v>
      </c>
      <c r="I426" s="49" t="s">
        <v>107</v>
      </c>
      <c r="J426" s="2">
        <v>2</v>
      </c>
    </row>
    <row r="427" spans="2:10">
      <c r="B427" s="2">
        <v>139</v>
      </c>
      <c r="C427" s="2" t="s">
        <v>49</v>
      </c>
      <c r="D427" s="2" t="s">
        <v>496</v>
      </c>
      <c r="E427" s="49"/>
      <c r="F427" s="2" t="s">
        <v>15</v>
      </c>
      <c r="G427" s="2"/>
      <c r="H427" s="2" t="s">
        <v>91</v>
      </c>
      <c r="I427" s="49" t="s">
        <v>107</v>
      </c>
      <c r="J427" s="2">
        <v>1</v>
      </c>
    </row>
    <row r="428" spans="2:10">
      <c r="B428" s="2">
        <v>140</v>
      </c>
      <c r="C428" s="2" t="s">
        <v>1</v>
      </c>
      <c r="D428" s="2" t="s">
        <v>492</v>
      </c>
      <c r="E428" s="49" t="s">
        <v>490</v>
      </c>
      <c r="F428" s="2" t="s">
        <v>15</v>
      </c>
      <c r="G428" s="2" t="s">
        <v>103</v>
      </c>
      <c r="H428" s="2" t="s">
        <v>90</v>
      </c>
      <c r="I428" s="2"/>
      <c r="J428" s="2">
        <v>8</v>
      </c>
    </row>
    <row r="429" spans="2:10">
      <c r="B429" s="2">
        <v>140</v>
      </c>
      <c r="C429" s="2" t="s">
        <v>1</v>
      </c>
      <c r="D429" s="2" t="s">
        <v>492</v>
      </c>
      <c r="E429" s="49" t="s">
        <v>490</v>
      </c>
      <c r="F429" s="2" t="s">
        <v>15</v>
      </c>
      <c r="G429" s="2" t="s">
        <v>103</v>
      </c>
      <c r="H429" s="2" t="s">
        <v>91</v>
      </c>
      <c r="I429" s="2"/>
      <c r="J429" s="2">
        <v>1</v>
      </c>
    </row>
    <row r="430" spans="2:10">
      <c r="B430" s="2">
        <v>141</v>
      </c>
      <c r="C430" s="2" t="s">
        <v>47</v>
      </c>
      <c r="D430" s="2" t="s">
        <v>492</v>
      </c>
      <c r="E430" s="49" t="s">
        <v>99</v>
      </c>
      <c r="F430" s="2" t="s">
        <v>15</v>
      </c>
      <c r="G430" s="2" t="s">
        <v>104</v>
      </c>
      <c r="H430" s="2" t="s">
        <v>90</v>
      </c>
      <c r="I430" s="2"/>
      <c r="J430" s="2">
        <v>1</v>
      </c>
    </row>
    <row r="431" spans="2:10">
      <c r="B431" s="2">
        <v>142</v>
      </c>
      <c r="C431" s="2" t="s">
        <v>1</v>
      </c>
      <c r="D431" s="2" t="s">
        <v>492</v>
      </c>
      <c r="E431" s="35" t="s">
        <v>490</v>
      </c>
      <c r="F431" s="2" t="s">
        <v>71</v>
      </c>
      <c r="G431" s="2" t="s">
        <v>103</v>
      </c>
      <c r="H431" s="2" t="s">
        <v>90</v>
      </c>
      <c r="I431" s="2"/>
      <c r="J431" s="2">
        <v>1</v>
      </c>
    </row>
    <row r="432" spans="2:10">
      <c r="B432" s="2">
        <v>142</v>
      </c>
      <c r="C432" s="2" t="s">
        <v>1</v>
      </c>
      <c r="D432" s="2" t="s">
        <v>492</v>
      </c>
      <c r="E432" s="35" t="s">
        <v>490</v>
      </c>
      <c r="F432" s="2" t="s">
        <v>67</v>
      </c>
      <c r="G432" s="2" t="s">
        <v>103</v>
      </c>
      <c r="H432" s="2" t="s">
        <v>90</v>
      </c>
      <c r="I432" s="2"/>
      <c r="J432" s="2">
        <v>1</v>
      </c>
    </row>
    <row r="433" spans="2:10">
      <c r="B433" s="2">
        <v>142</v>
      </c>
      <c r="C433" s="2" t="s">
        <v>1</v>
      </c>
      <c r="D433" s="2" t="s">
        <v>492</v>
      </c>
      <c r="E433" s="35" t="s">
        <v>490</v>
      </c>
      <c r="F433" s="2" t="s">
        <v>72</v>
      </c>
      <c r="G433" s="2" t="s">
        <v>103</v>
      </c>
      <c r="H433" s="2" t="s">
        <v>90</v>
      </c>
      <c r="I433" s="2"/>
      <c r="J433" s="2">
        <v>1</v>
      </c>
    </row>
    <row r="434" spans="2:10">
      <c r="B434" s="2">
        <v>143</v>
      </c>
      <c r="C434" s="2" t="s">
        <v>47</v>
      </c>
      <c r="D434" s="2" t="s">
        <v>492</v>
      </c>
      <c r="E434" s="2" t="s">
        <v>99</v>
      </c>
      <c r="F434" s="2" t="s">
        <v>72</v>
      </c>
      <c r="G434" s="2" t="s">
        <v>105</v>
      </c>
      <c r="H434" s="2" t="s">
        <v>90</v>
      </c>
      <c r="I434" s="2"/>
      <c r="J434" s="2">
        <v>2</v>
      </c>
    </row>
    <row r="435" spans="2:10">
      <c r="B435" s="2">
        <v>143</v>
      </c>
      <c r="C435" s="2" t="s">
        <v>47</v>
      </c>
      <c r="D435" s="2" t="s">
        <v>492</v>
      </c>
      <c r="E435" s="2" t="s">
        <v>99</v>
      </c>
      <c r="F435" s="2" t="s">
        <v>72</v>
      </c>
      <c r="G435" s="2" t="s">
        <v>105</v>
      </c>
      <c r="H435" s="2" t="s">
        <v>91</v>
      </c>
      <c r="I435" s="2"/>
      <c r="J435" s="2">
        <v>2</v>
      </c>
    </row>
    <row r="436" spans="2:10">
      <c r="B436" s="2">
        <v>144</v>
      </c>
      <c r="C436" s="2" t="s">
        <v>1</v>
      </c>
      <c r="D436" s="2" t="s">
        <v>57</v>
      </c>
      <c r="E436" s="2" t="s">
        <v>490</v>
      </c>
      <c r="F436" s="2" t="s">
        <v>15</v>
      </c>
      <c r="G436" s="2" t="s">
        <v>81</v>
      </c>
      <c r="H436" s="2" t="s">
        <v>85</v>
      </c>
      <c r="I436" s="2"/>
      <c r="J436" s="2">
        <v>1</v>
      </c>
    </row>
    <row r="437" spans="2:10">
      <c r="B437" s="2">
        <v>145</v>
      </c>
      <c r="C437" s="2" t="s">
        <v>1</v>
      </c>
      <c r="D437" s="2" t="s">
        <v>492</v>
      </c>
      <c r="E437" s="49" t="s">
        <v>490</v>
      </c>
      <c r="F437" s="2" t="s">
        <v>71</v>
      </c>
      <c r="G437" s="2" t="s">
        <v>103</v>
      </c>
      <c r="H437" s="2" t="s">
        <v>90</v>
      </c>
      <c r="I437" s="2"/>
      <c r="J437" s="2">
        <v>1</v>
      </c>
    </row>
    <row r="438" spans="2:10">
      <c r="B438" s="2">
        <v>145</v>
      </c>
      <c r="C438" s="2" t="s">
        <v>1</v>
      </c>
      <c r="D438" s="2" t="s">
        <v>492</v>
      </c>
      <c r="E438" s="49" t="s">
        <v>490</v>
      </c>
      <c r="F438" s="2" t="s">
        <v>67</v>
      </c>
      <c r="G438" s="2" t="s">
        <v>103</v>
      </c>
      <c r="H438" s="2" t="s">
        <v>90</v>
      </c>
      <c r="I438" s="2"/>
      <c r="J438" s="2">
        <v>1</v>
      </c>
    </row>
    <row r="439" spans="2:10">
      <c r="B439" s="2">
        <v>145</v>
      </c>
      <c r="C439" s="2" t="s">
        <v>1</v>
      </c>
      <c r="D439" s="2" t="s">
        <v>492</v>
      </c>
      <c r="E439" s="49" t="s">
        <v>490</v>
      </c>
      <c r="F439" s="2" t="s">
        <v>72</v>
      </c>
      <c r="G439" s="2" t="s">
        <v>103</v>
      </c>
      <c r="H439" s="2" t="s">
        <v>90</v>
      </c>
      <c r="I439" s="2"/>
      <c r="J439" s="2">
        <v>1</v>
      </c>
    </row>
    <row r="440" spans="2:10">
      <c r="B440" s="2">
        <v>146</v>
      </c>
      <c r="C440" s="2" t="s">
        <v>47</v>
      </c>
      <c r="D440" s="2" t="s">
        <v>492</v>
      </c>
      <c r="E440" s="49" t="s">
        <v>99</v>
      </c>
      <c r="F440" s="2" t="s">
        <v>72</v>
      </c>
      <c r="G440" s="2" t="s">
        <v>105</v>
      </c>
      <c r="H440" s="2" t="s">
        <v>90</v>
      </c>
      <c r="I440" s="2"/>
      <c r="J440" s="2">
        <v>2</v>
      </c>
    </row>
    <row r="441" spans="2:10">
      <c r="B441" s="2">
        <v>146</v>
      </c>
      <c r="C441" s="2" t="s">
        <v>47</v>
      </c>
      <c r="D441" s="2" t="s">
        <v>492</v>
      </c>
      <c r="E441" s="49" t="s">
        <v>99</v>
      </c>
      <c r="F441" s="2" t="s">
        <v>72</v>
      </c>
      <c r="G441" s="2" t="s">
        <v>105</v>
      </c>
      <c r="H441" s="2" t="s">
        <v>91</v>
      </c>
      <c r="I441" s="2"/>
      <c r="J441" s="2">
        <v>2</v>
      </c>
    </row>
    <row r="442" spans="2:10">
      <c r="B442" s="2">
        <v>147</v>
      </c>
      <c r="C442" s="2" t="s">
        <v>1</v>
      </c>
      <c r="D442" s="2" t="s">
        <v>57</v>
      </c>
      <c r="E442" s="49" t="s">
        <v>490</v>
      </c>
      <c r="F442" s="2" t="s">
        <v>15</v>
      </c>
      <c r="G442" s="2" t="s">
        <v>81</v>
      </c>
      <c r="H442" s="2" t="s">
        <v>85</v>
      </c>
      <c r="I442" s="2"/>
      <c r="J442" s="2">
        <v>1</v>
      </c>
    </row>
    <row r="443" spans="2:10">
      <c r="B443" s="2">
        <v>148</v>
      </c>
      <c r="C443" s="2" t="s">
        <v>47</v>
      </c>
      <c r="D443" s="2" t="s">
        <v>492</v>
      </c>
      <c r="E443" s="2" t="s">
        <v>99</v>
      </c>
      <c r="F443" s="2" t="s">
        <v>72</v>
      </c>
      <c r="G443" s="2" t="s">
        <v>105</v>
      </c>
      <c r="H443" s="2" t="s">
        <v>89</v>
      </c>
      <c r="I443" s="2"/>
      <c r="J443" s="2">
        <v>1</v>
      </c>
    </row>
    <row r="444" spans="2:10">
      <c r="B444" s="2">
        <v>148</v>
      </c>
      <c r="C444" s="2" t="s">
        <v>47</v>
      </c>
      <c r="D444" s="2" t="s">
        <v>492</v>
      </c>
      <c r="E444" s="2" t="s">
        <v>99</v>
      </c>
      <c r="F444" s="2" t="s">
        <v>72</v>
      </c>
      <c r="G444" s="2" t="s">
        <v>105</v>
      </c>
      <c r="H444" s="2" t="s">
        <v>90</v>
      </c>
      <c r="I444" s="2"/>
      <c r="J444" s="2">
        <v>1</v>
      </c>
    </row>
    <row r="445" spans="2:10">
      <c r="B445" s="2">
        <v>149</v>
      </c>
      <c r="C445" s="2" t="s">
        <v>47</v>
      </c>
      <c r="D445" s="2" t="s">
        <v>492</v>
      </c>
      <c r="E445" s="49" t="s">
        <v>99</v>
      </c>
      <c r="F445" s="2" t="s">
        <v>72</v>
      </c>
      <c r="G445" s="2" t="s">
        <v>105</v>
      </c>
      <c r="H445" s="2" t="s">
        <v>89</v>
      </c>
      <c r="I445" s="2"/>
      <c r="J445" s="2">
        <v>1</v>
      </c>
    </row>
    <row r="446" spans="2:10">
      <c r="B446" s="2">
        <v>149</v>
      </c>
      <c r="C446" s="2" t="s">
        <v>47</v>
      </c>
      <c r="D446" s="2" t="s">
        <v>492</v>
      </c>
      <c r="E446" s="49" t="s">
        <v>99</v>
      </c>
      <c r="F446" s="2" t="s">
        <v>72</v>
      </c>
      <c r="G446" s="2" t="s">
        <v>105</v>
      </c>
      <c r="H446" s="2" t="s">
        <v>90</v>
      </c>
      <c r="I446" s="2"/>
      <c r="J446" s="2">
        <v>1</v>
      </c>
    </row>
    <row r="447" spans="2:10">
      <c r="B447" s="2">
        <v>150</v>
      </c>
      <c r="C447" s="2" t="s">
        <v>1</v>
      </c>
      <c r="D447" s="2" t="s">
        <v>53</v>
      </c>
      <c r="E447" s="2" t="s">
        <v>490</v>
      </c>
      <c r="F447" s="2" t="s">
        <v>15</v>
      </c>
      <c r="G447" s="2" t="s">
        <v>81</v>
      </c>
      <c r="H447" s="2" t="s">
        <v>80</v>
      </c>
      <c r="I447" s="2"/>
      <c r="J447" s="2">
        <v>1</v>
      </c>
    </row>
    <row r="448" spans="2:10">
      <c r="B448" s="2">
        <v>150</v>
      </c>
      <c r="C448" s="2" t="s">
        <v>1</v>
      </c>
      <c r="D448" s="2" t="s">
        <v>53</v>
      </c>
      <c r="E448" s="2" t="s">
        <v>490</v>
      </c>
      <c r="F448" s="2" t="s">
        <v>15</v>
      </c>
      <c r="G448" s="2" t="s">
        <v>102</v>
      </c>
      <c r="H448" s="2" t="s">
        <v>90</v>
      </c>
      <c r="I448" s="2"/>
      <c r="J448" s="2">
        <v>1</v>
      </c>
    </row>
    <row r="449" spans="2:10">
      <c r="B449" s="2">
        <v>150</v>
      </c>
      <c r="C449" s="2" t="s">
        <v>1</v>
      </c>
      <c r="D449" s="2" t="s">
        <v>53</v>
      </c>
      <c r="E449" s="2" t="s">
        <v>490</v>
      </c>
      <c r="F449" s="2" t="s">
        <v>15</v>
      </c>
      <c r="G449" s="2" t="s">
        <v>102</v>
      </c>
      <c r="H449" s="2" t="s">
        <v>91</v>
      </c>
      <c r="I449" s="2"/>
      <c r="J449" s="2">
        <v>1</v>
      </c>
    </row>
    <row r="450" spans="2:10">
      <c r="B450" s="2">
        <v>151</v>
      </c>
      <c r="C450" s="2" t="s">
        <v>47</v>
      </c>
      <c r="D450" s="2" t="s">
        <v>492</v>
      </c>
      <c r="E450" s="2" t="s">
        <v>99</v>
      </c>
      <c r="F450" s="2" t="s">
        <v>72</v>
      </c>
      <c r="G450" s="2" t="s">
        <v>105</v>
      </c>
      <c r="H450" s="2" t="s">
        <v>90</v>
      </c>
      <c r="I450" s="2"/>
      <c r="J450" s="2">
        <v>1</v>
      </c>
    </row>
    <row r="451" spans="2:10">
      <c r="B451" s="2">
        <v>152</v>
      </c>
      <c r="C451" s="2" t="s">
        <v>1</v>
      </c>
      <c r="D451" s="2" t="s">
        <v>53</v>
      </c>
      <c r="E451" s="2" t="s">
        <v>490</v>
      </c>
      <c r="F451" s="2" t="s">
        <v>74</v>
      </c>
      <c r="G451" s="2" t="s">
        <v>103</v>
      </c>
      <c r="H451" s="2" t="s">
        <v>89</v>
      </c>
      <c r="I451" s="2"/>
      <c r="J451" s="2">
        <v>4</v>
      </c>
    </row>
    <row r="452" spans="2:10">
      <c r="B452" s="2">
        <v>152</v>
      </c>
      <c r="C452" s="2" t="s">
        <v>1</v>
      </c>
      <c r="D452" s="2" t="s">
        <v>53</v>
      </c>
      <c r="E452" s="2" t="s">
        <v>490</v>
      </c>
      <c r="F452" s="2" t="s">
        <v>74</v>
      </c>
      <c r="G452" s="2" t="s">
        <v>103</v>
      </c>
      <c r="H452" s="2" t="s">
        <v>90</v>
      </c>
      <c r="I452" s="2"/>
      <c r="J452" s="2">
        <v>9</v>
      </c>
    </row>
    <row r="453" spans="2:10">
      <c r="B453" s="2">
        <v>152</v>
      </c>
      <c r="C453" s="2" t="s">
        <v>1</v>
      </c>
      <c r="D453" s="2" t="s">
        <v>53</v>
      </c>
      <c r="E453" s="2" t="s">
        <v>490</v>
      </c>
      <c r="F453" s="2" t="s">
        <v>74</v>
      </c>
      <c r="G453" s="2" t="s">
        <v>103</v>
      </c>
      <c r="H453" s="2" t="s">
        <v>91</v>
      </c>
      <c r="I453" s="2"/>
      <c r="J453" s="2">
        <v>1</v>
      </c>
    </row>
    <row r="454" spans="2:10">
      <c r="B454" s="2">
        <v>152</v>
      </c>
      <c r="C454" s="2" t="s">
        <v>1</v>
      </c>
      <c r="D454" s="2" t="s">
        <v>53</v>
      </c>
      <c r="E454" s="2" t="s">
        <v>490</v>
      </c>
      <c r="F454" s="2" t="s">
        <v>497</v>
      </c>
      <c r="G454" s="2" t="s">
        <v>103</v>
      </c>
      <c r="H454" s="2" t="s">
        <v>89</v>
      </c>
      <c r="I454" s="2"/>
      <c r="J454" s="2">
        <v>2</v>
      </c>
    </row>
    <row r="455" spans="2:10">
      <c r="B455" s="2">
        <v>152</v>
      </c>
      <c r="C455" s="2" t="s">
        <v>1</v>
      </c>
      <c r="D455" s="2" t="s">
        <v>53</v>
      </c>
      <c r="E455" s="2" t="s">
        <v>490</v>
      </c>
      <c r="F455" s="2" t="s">
        <v>497</v>
      </c>
      <c r="G455" s="2" t="s">
        <v>103</v>
      </c>
      <c r="H455" s="2" t="s">
        <v>90</v>
      </c>
      <c r="I455" s="2"/>
      <c r="J455" s="2">
        <v>1</v>
      </c>
    </row>
    <row r="456" spans="2:10">
      <c r="B456" s="2">
        <v>152</v>
      </c>
      <c r="C456" s="2" t="s">
        <v>1</v>
      </c>
      <c r="D456" s="2" t="s">
        <v>53</v>
      </c>
      <c r="E456" s="2" t="s">
        <v>490</v>
      </c>
      <c r="F456" s="2" t="s">
        <v>73</v>
      </c>
      <c r="G456" s="2" t="s">
        <v>103</v>
      </c>
      <c r="H456" s="2" t="s">
        <v>90</v>
      </c>
      <c r="I456" s="2"/>
      <c r="J456" s="2">
        <v>1</v>
      </c>
    </row>
    <row r="457" spans="2:10">
      <c r="B457" s="2">
        <v>153</v>
      </c>
      <c r="C457" s="2" t="s">
        <v>1</v>
      </c>
      <c r="D457" s="2" t="s">
        <v>53</v>
      </c>
      <c r="E457" s="49" t="s">
        <v>490</v>
      </c>
      <c r="F457" s="2" t="s">
        <v>15</v>
      </c>
      <c r="G457" s="2" t="s">
        <v>81</v>
      </c>
      <c r="H457" s="2" t="s">
        <v>80</v>
      </c>
      <c r="I457" s="2"/>
      <c r="J457" s="2">
        <v>1</v>
      </c>
    </row>
    <row r="458" spans="2:10">
      <c r="B458" s="2">
        <v>153</v>
      </c>
      <c r="C458" s="2" t="s">
        <v>1</v>
      </c>
      <c r="D458" s="2" t="s">
        <v>53</v>
      </c>
      <c r="E458" s="49" t="s">
        <v>490</v>
      </c>
      <c r="F458" s="2" t="s">
        <v>15</v>
      </c>
      <c r="G458" s="2" t="s">
        <v>102</v>
      </c>
      <c r="H458" s="2" t="s">
        <v>90</v>
      </c>
      <c r="I458" s="2"/>
      <c r="J458" s="2">
        <v>1</v>
      </c>
    </row>
    <row r="459" spans="2:10">
      <c r="B459" s="2">
        <v>153</v>
      </c>
      <c r="C459" s="2" t="s">
        <v>1</v>
      </c>
      <c r="D459" s="2" t="s">
        <v>53</v>
      </c>
      <c r="E459" s="49" t="s">
        <v>490</v>
      </c>
      <c r="F459" s="2" t="s">
        <v>15</v>
      </c>
      <c r="G459" s="2" t="s">
        <v>102</v>
      </c>
      <c r="H459" s="2" t="s">
        <v>91</v>
      </c>
      <c r="I459" s="2"/>
      <c r="J459" s="2">
        <v>1</v>
      </c>
    </row>
    <row r="460" spans="2:10">
      <c r="B460" s="2">
        <v>154</v>
      </c>
      <c r="C460" s="2" t="s">
        <v>47</v>
      </c>
      <c r="D460" s="2" t="s">
        <v>492</v>
      </c>
      <c r="E460" s="49" t="s">
        <v>99</v>
      </c>
      <c r="F460" s="2" t="s">
        <v>72</v>
      </c>
      <c r="G460" s="2" t="s">
        <v>105</v>
      </c>
      <c r="H460" s="2" t="s">
        <v>90</v>
      </c>
      <c r="I460" s="2"/>
      <c r="J460" s="2">
        <v>1</v>
      </c>
    </row>
    <row r="461" spans="2:10">
      <c r="B461" s="2">
        <v>155</v>
      </c>
      <c r="C461" s="49" t="s">
        <v>1</v>
      </c>
      <c r="D461" s="2" t="s">
        <v>53</v>
      </c>
      <c r="E461" s="2" t="s">
        <v>490</v>
      </c>
      <c r="F461" s="2" t="s">
        <v>74</v>
      </c>
      <c r="G461" s="2" t="s">
        <v>103</v>
      </c>
      <c r="H461" s="2" t="s">
        <v>89</v>
      </c>
      <c r="I461" s="2"/>
      <c r="J461" s="2">
        <v>4</v>
      </c>
    </row>
    <row r="462" spans="2:10">
      <c r="B462" s="2">
        <v>155</v>
      </c>
      <c r="C462" s="49" t="s">
        <v>1</v>
      </c>
      <c r="D462" s="2" t="s">
        <v>53</v>
      </c>
      <c r="E462" s="2" t="s">
        <v>490</v>
      </c>
      <c r="F462" s="2" t="s">
        <v>74</v>
      </c>
      <c r="G462" s="2" t="s">
        <v>103</v>
      </c>
      <c r="H462" s="2" t="s">
        <v>90</v>
      </c>
      <c r="I462" s="2"/>
      <c r="J462" s="2">
        <v>9</v>
      </c>
    </row>
    <row r="463" spans="2:10">
      <c r="B463" s="2">
        <v>155</v>
      </c>
      <c r="C463" s="49" t="s">
        <v>1</v>
      </c>
      <c r="D463" s="2" t="s">
        <v>53</v>
      </c>
      <c r="E463" s="2" t="s">
        <v>490</v>
      </c>
      <c r="F463" s="2" t="s">
        <v>74</v>
      </c>
      <c r="G463" s="2" t="s">
        <v>103</v>
      </c>
      <c r="H463" s="2" t="s">
        <v>91</v>
      </c>
      <c r="I463" s="2"/>
      <c r="J463" s="2">
        <v>1</v>
      </c>
    </row>
    <row r="464" spans="2:10">
      <c r="B464" s="2">
        <v>155</v>
      </c>
      <c r="C464" s="49" t="s">
        <v>1</v>
      </c>
      <c r="D464" s="2" t="s">
        <v>53</v>
      </c>
      <c r="E464" s="2" t="s">
        <v>490</v>
      </c>
      <c r="F464" s="2" t="s">
        <v>75</v>
      </c>
      <c r="G464" s="2" t="s">
        <v>103</v>
      </c>
      <c r="H464" s="2" t="s">
        <v>89</v>
      </c>
      <c r="I464" s="2"/>
      <c r="J464" s="2">
        <v>2</v>
      </c>
    </row>
    <row r="465" spans="2:10">
      <c r="B465" s="2">
        <v>155</v>
      </c>
      <c r="C465" s="49" t="s">
        <v>1</v>
      </c>
      <c r="D465" s="2" t="s">
        <v>53</v>
      </c>
      <c r="E465" s="2" t="s">
        <v>490</v>
      </c>
      <c r="F465" s="2" t="s">
        <v>75</v>
      </c>
      <c r="G465" s="2" t="s">
        <v>103</v>
      </c>
      <c r="H465" s="2" t="s">
        <v>90</v>
      </c>
      <c r="I465" s="2"/>
      <c r="J465" s="2">
        <v>1</v>
      </c>
    </row>
    <row r="466" spans="2:10">
      <c r="B466" s="2">
        <v>155</v>
      </c>
      <c r="C466" s="49" t="s">
        <v>1</v>
      </c>
      <c r="D466" s="2" t="s">
        <v>53</v>
      </c>
      <c r="E466" s="2" t="s">
        <v>490</v>
      </c>
      <c r="F466" s="2" t="s">
        <v>73</v>
      </c>
      <c r="G466" s="2" t="s">
        <v>103</v>
      </c>
      <c r="H466" s="2" t="s">
        <v>90</v>
      </c>
      <c r="I466" s="2"/>
      <c r="J466" s="2">
        <v>1</v>
      </c>
    </row>
    <row r="467" spans="2:10">
      <c r="B467" s="2">
        <v>156</v>
      </c>
      <c r="C467" s="2" t="s">
        <v>1</v>
      </c>
      <c r="D467" s="2" t="s">
        <v>57</v>
      </c>
      <c r="E467" s="2" t="s">
        <v>490</v>
      </c>
      <c r="F467" s="2" t="s">
        <v>72</v>
      </c>
      <c r="G467" s="2" t="s">
        <v>81</v>
      </c>
      <c r="H467" s="2" t="s">
        <v>84</v>
      </c>
      <c r="I467" s="2"/>
      <c r="J467" s="2">
        <v>16</v>
      </c>
    </row>
    <row r="468" spans="2:10">
      <c r="B468" s="2">
        <v>156</v>
      </c>
      <c r="C468" s="2" t="s">
        <v>1</v>
      </c>
      <c r="D468" s="2" t="s">
        <v>57</v>
      </c>
      <c r="E468" s="2" t="s">
        <v>490</v>
      </c>
      <c r="F468" s="2" t="s">
        <v>72</v>
      </c>
      <c r="G468" s="2" t="s">
        <v>81</v>
      </c>
      <c r="H468" s="2" t="s">
        <v>85</v>
      </c>
      <c r="I468" s="2"/>
      <c r="J468" s="2">
        <v>4</v>
      </c>
    </row>
    <row r="469" spans="2:10">
      <c r="B469" s="2">
        <v>156</v>
      </c>
      <c r="C469" s="2" t="s">
        <v>1</v>
      </c>
      <c r="D469" s="2" t="s">
        <v>57</v>
      </c>
      <c r="E469" s="2" t="s">
        <v>490</v>
      </c>
      <c r="F469" s="2" t="s">
        <v>72</v>
      </c>
      <c r="G469" s="2" t="s">
        <v>81</v>
      </c>
      <c r="H469" s="2" t="s">
        <v>86</v>
      </c>
      <c r="I469" s="2"/>
      <c r="J469" s="2">
        <v>3</v>
      </c>
    </row>
    <row r="470" spans="2:10">
      <c r="B470" s="2">
        <v>156</v>
      </c>
      <c r="C470" s="2" t="s">
        <v>1</v>
      </c>
      <c r="D470" s="2" t="s">
        <v>57</v>
      </c>
      <c r="E470" s="2" t="s">
        <v>490</v>
      </c>
      <c r="F470" s="2" t="s">
        <v>72</v>
      </c>
      <c r="G470" s="2" t="s">
        <v>103</v>
      </c>
      <c r="H470" s="2" t="s">
        <v>91</v>
      </c>
      <c r="I470" s="2"/>
      <c r="J470" s="2">
        <v>1</v>
      </c>
    </row>
    <row r="471" spans="2:10">
      <c r="B471" s="2">
        <v>157</v>
      </c>
      <c r="C471" s="2" t="s">
        <v>1</v>
      </c>
      <c r="D471" s="2" t="s">
        <v>57</v>
      </c>
      <c r="E471" s="2" t="s">
        <v>490</v>
      </c>
      <c r="F471" s="2" t="s">
        <v>15</v>
      </c>
      <c r="G471" s="2" t="s">
        <v>81</v>
      </c>
      <c r="H471" s="2" t="s">
        <v>83</v>
      </c>
      <c r="I471" s="2"/>
      <c r="J471" s="2">
        <v>1</v>
      </c>
    </row>
    <row r="472" spans="2:10">
      <c r="B472" s="2">
        <v>157</v>
      </c>
      <c r="C472" s="2" t="s">
        <v>1</v>
      </c>
      <c r="D472" s="2" t="s">
        <v>57</v>
      </c>
      <c r="E472" s="2" t="s">
        <v>490</v>
      </c>
      <c r="F472" s="2" t="s">
        <v>15</v>
      </c>
      <c r="G472" s="2" t="s">
        <v>81</v>
      </c>
      <c r="H472" s="2" t="s">
        <v>84</v>
      </c>
      <c r="I472" s="2"/>
      <c r="J472" s="2">
        <v>2</v>
      </c>
    </row>
    <row r="473" spans="2:10">
      <c r="B473" s="2">
        <v>157</v>
      </c>
      <c r="C473" s="2" t="s">
        <v>1</v>
      </c>
      <c r="D473" s="2" t="s">
        <v>57</v>
      </c>
      <c r="E473" s="2" t="s">
        <v>490</v>
      </c>
      <c r="F473" s="2" t="s">
        <v>15</v>
      </c>
      <c r="G473" s="2" t="s">
        <v>81</v>
      </c>
      <c r="H473" s="2" t="s">
        <v>85</v>
      </c>
      <c r="I473" s="2"/>
      <c r="J473" s="2">
        <v>11</v>
      </c>
    </row>
    <row r="474" spans="2:10">
      <c r="B474" s="2">
        <v>157</v>
      </c>
      <c r="C474" s="2" t="s">
        <v>1</v>
      </c>
      <c r="D474" s="2" t="s">
        <v>57</v>
      </c>
      <c r="E474" s="2" t="s">
        <v>490</v>
      </c>
      <c r="F474" s="2" t="s">
        <v>15</v>
      </c>
      <c r="G474" s="2" t="s">
        <v>81</v>
      </c>
      <c r="H474" s="2" t="s">
        <v>86</v>
      </c>
      <c r="I474" s="2"/>
      <c r="J474" s="2">
        <v>1</v>
      </c>
    </row>
    <row r="475" spans="2:10">
      <c r="B475" s="2">
        <v>158</v>
      </c>
      <c r="C475" s="2" t="s">
        <v>1</v>
      </c>
      <c r="D475" s="2" t="s">
        <v>492</v>
      </c>
      <c r="E475" s="2" t="s">
        <v>490</v>
      </c>
      <c r="F475" s="2" t="s">
        <v>69</v>
      </c>
      <c r="G475" s="2" t="s">
        <v>102</v>
      </c>
      <c r="H475" s="2" t="s">
        <v>90</v>
      </c>
      <c r="I475" s="2"/>
      <c r="J475" s="2">
        <v>2</v>
      </c>
    </row>
    <row r="476" spans="2:10">
      <c r="B476" s="2">
        <v>159</v>
      </c>
      <c r="C476" s="2" t="s">
        <v>1</v>
      </c>
      <c r="D476" s="2" t="s">
        <v>53</v>
      </c>
      <c r="E476" s="2" t="s">
        <v>490</v>
      </c>
      <c r="F476" s="2" t="s">
        <v>15</v>
      </c>
      <c r="G476" s="2" t="s">
        <v>81</v>
      </c>
      <c r="H476" s="2" t="s">
        <v>84</v>
      </c>
      <c r="I476" s="2"/>
      <c r="J476" s="2">
        <v>2</v>
      </c>
    </row>
    <row r="477" spans="2:10">
      <c r="B477" s="2">
        <v>159</v>
      </c>
      <c r="C477" s="2" t="s">
        <v>1</v>
      </c>
      <c r="D477" s="2" t="s">
        <v>53</v>
      </c>
      <c r="E477" s="2" t="s">
        <v>490</v>
      </c>
      <c r="F477" s="2" t="s">
        <v>15</v>
      </c>
      <c r="G477" s="2" t="s">
        <v>81</v>
      </c>
      <c r="H477" s="2" t="s">
        <v>86</v>
      </c>
      <c r="I477" s="2"/>
      <c r="J477" s="2">
        <v>3</v>
      </c>
    </row>
    <row r="478" spans="2:10">
      <c r="B478" s="2">
        <v>160</v>
      </c>
      <c r="C478" s="2" t="s">
        <v>1</v>
      </c>
      <c r="D478" s="2" t="s">
        <v>53</v>
      </c>
      <c r="E478" s="35" t="s">
        <v>491</v>
      </c>
      <c r="F478" s="2" t="s">
        <v>66</v>
      </c>
      <c r="G478" s="2" t="s">
        <v>81</v>
      </c>
      <c r="H478" s="2" t="s">
        <v>83</v>
      </c>
      <c r="I478" s="2"/>
      <c r="J478" s="2">
        <v>1</v>
      </c>
    </row>
    <row r="479" spans="2:10">
      <c r="B479" s="2">
        <v>160</v>
      </c>
      <c r="C479" s="2" t="s">
        <v>1</v>
      </c>
      <c r="D479" s="2" t="s">
        <v>53</v>
      </c>
      <c r="E479" s="35" t="s">
        <v>491</v>
      </c>
      <c r="F479" s="2" t="s">
        <v>66</v>
      </c>
      <c r="G479" s="2" t="s">
        <v>103</v>
      </c>
      <c r="H479" s="2" t="s">
        <v>90</v>
      </c>
      <c r="I479" s="2"/>
      <c r="J479" s="2">
        <v>1</v>
      </c>
    </row>
    <row r="480" spans="2:10">
      <c r="B480" s="2">
        <v>160</v>
      </c>
      <c r="C480" s="2" t="s">
        <v>1</v>
      </c>
      <c r="D480" s="2" t="s">
        <v>53</v>
      </c>
      <c r="E480" s="35" t="s">
        <v>491</v>
      </c>
      <c r="F480" s="2" t="s">
        <v>66</v>
      </c>
      <c r="G480" s="2" t="s">
        <v>102</v>
      </c>
      <c r="H480" s="2" t="s">
        <v>91</v>
      </c>
      <c r="I480" s="2"/>
      <c r="J480" s="2">
        <v>1</v>
      </c>
    </row>
    <row r="481" spans="2:10">
      <c r="B481" s="2">
        <v>161</v>
      </c>
      <c r="C481" s="2" t="s">
        <v>1</v>
      </c>
      <c r="D481" s="2" t="s">
        <v>57</v>
      </c>
      <c r="E481" s="35" t="s">
        <v>491</v>
      </c>
      <c r="F481" s="2" t="s">
        <v>15</v>
      </c>
      <c r="G481" s="2" t="s">
        <v>81</v>
      </c>
      <c r="H481" s="2" t="s">
        <v>83</v>
      </c>
      <c r="I481" s="2"/>
      <c r="J481" s="2">
        <v>2</v>
      </c>
    </row>
    <row r="482" spans="2:10">
      <c r="B482" s="2">
        <v>161</v>
      </c>
      <c r="C482" s="2" t="s">
        <v>1</v>
      </c>
      <c r="D482" s="2" t="s">
        <v>57</v>
      </c>
      <c r="E482" s="35" t="s">
        <v>491</v>
      </c>
      <c r="F482" s="2" t="s">
        <v>15</v>
      </c>
      <c r="G482" s="2" t="s">
        <v>81</v>
      </c>
      <c r="H482" s="2" t="s">
        <v>84</v>
      </c>
      <c r="I482" s="2"/>
      <c r="J482" s="2">
        <v>13</v>
      </c>
    </row>
    <row r="483" spans="2:10">
      <c r="B483" s="2">
        <v>161</v>
      </c>
      <c r="C483" s="2" t="s">
        <v>1</v>
      </c>
      <c r="D483" s="2" t="s">
        <v>57</v>
      </c>
      <c r="E483" s="35" t="s">
        <v>491</v>
      </c>
      <c r="F483" s="2" t="s">
        <v>15</v>
      </c>
      <c r="G483" s="2" t="s">
        <v>81</v>
      </c>
      <c r="H483" s="2" t="s">
        <v>85</v>
      </c>
      <c r="I483" s="2"/>
      <c r="J483" s="2">
        <v>5</v>
      </c>
    </row>
    <row r="484" spans="2:10">
      <c r="B484" s="2">
        <v>161</v>
      </c>
      <c r="C484" s="2" t="s">
        <v>1</v>
      </c>
      <c r="D484" s="2" t="s">
        <v>57</v>
      </c>
      <c r="E484" s="35" t="s">
        <v>491</v>
      </c>
      <c r="F484" s="2" t="s">
        <v>15</v>
      </c>
      <c r="G484" s="2" t="s">
        <v>81</v>
      </c>
      <c r="H484" s="2" t="s">
        <v>86</v>
      </c>
      <c r="I484" s="2"/>
      <c r="J484" s="2">
        <v>3</v>
      </c>
    </row>
    <row r="485" spans="2:10">
      <c r="B485" s="2">
        <v>161</v>
      </c>
      <c r="C485" s="2" t="s">
        <v>1</v>
      </c>
      <c r="D485" s="2" t="s">
        <v>57</v>
      </c>
      <c r="E485" s="35" t="s">
        <v>491</v>
      </c>
      <c r="F485" s="2" t="s">
        <v>15</v>
      </c>
      <c r="G485" s="2" t="s">
        <v>102</v>
      </c>
      <c r="H485" s="2" t="s">
        <v>87</v>
      </c>
      <c r="I485" s="2"/>
      <c r="J485" s="2">
        <v>1</v>
      </c>
    </row>
    <row r="486" spans="2:10">
      <c r="B486" s="2">
        <v>161</v>
      </c>
      <c r="C486" s="2" t="s">
        <v>1</v>
      </c>
      <c r="D486" s="2" t="s">
        <v>57</v>
      </c>
      <c r="E486" s="35" t="s">
        <v>491</v>
      </c>
      <c r="F486" s="2" t="s">
        <v>15</v>
      </c>
      <c r="G486" s="2" t="s">
        <v>102</v>
      </c>
      <c r="H486" s="2" t="s">
        <v>92</v>
      </c>
      <c r="I486" s="2"/>
      <c r="J486" s="2">
        <v>1</v>
      </c>
    </row>
    <row r="487" spans="2:10">
      <c r="B487" s="2">
        <v>162</v>
      </c>
      <c r="C487" s="49" t="s">
        <v>1</v>
      </c>
      <c r="D487" s="2" t="s">
        <v>57</v>
      </c>
      <c r="E487" s="2" t="s">
        <v>490</v>
      </c>
      <c r="F487" s="2" t="s">
        <v>72</v>
      </c>
      <c r="G487" s="2" t="s">
        <v>81</v>
      </c>
      <c r="H487" s="2" t="s">
        <v>84</v>
      </c>
      <c r="I487" s="2"/>
      <c r="J487" s="2">
        <v>16</v>
      </c>
    </row>
    <row r="488" spans="2:10">
      <c r="B488" s="2">
        <v>162</v>
      </c>
      <c r="C488" s="49" t="s">
        <v>1</v>
      </c>
      <c r="D488" s="2" t="s">
        <v>57</v>
      </c>
      <c r="E488" s="2" t="s">
        <v>490</v>
      </c>
      <c r="F488" s="2" t="s">
        <v>72</v>
      </c>
      <c r="G488" s="2" t="s">
        <v>81</v>
      </c>
      <c r="H488" s="2" t="s">
        <v>85</v>
      </c>
      <c r="I488" s="2"/>
      <c r="J488" s="2">
        <v>4</v>
      </c>
    </row>
    <row r="489" spans="2:10">
      <c r="B489" s="2">
        <v>162</v>
      </c>
      <c r="C489" s="49" t="s">
        <v>1</v>
      </c>
      <c r="D489" s="2" t="s">
        <v>57</v>
      </c>
      <c r="E489" s="2" t="s">
        <v>490</v>
      </c>
      <c r="F489" s="2" t="s">
        <v>72</v>
      </c>
      <c r="G489" s="2" t="s">
        <v>81</v>
      </c>
      <c r="H489" s="2" t="s">
        <v>86</v>
      </c>
      <c r="I489" s="2"/>
      <c r="J489" s="2">
        <v>3</v>
      </c>
    </row>
    <row r="490" spans="2:10">
      <c r="B490" s="2">
        <v>162</v>
      </c>
      <c r="C490" s="49" t="s">
        <v>1</v>
      </c>
      <c r="D490" s="2" t="s">
        <v>57</v>
      </c>
      <c r="E490" s="2" t="s">
        <v>490</v>
      </c>
      <c r="F490" s="2" t="s">
        <v>72</v>
      </c>
      <c r="G490" s="2" t="s">
        <v>103</v>
      </c>
      <c r="H490" s="2" t="s">
        <v>91</v>
      </c>
      <c r="I490" s="2"/>
      <c r="J490" s="2">
        <v>1</v>
      </c>
    </row>
    <row r="491" spans="2:10">
      <c r="B491" s="2">
        <v>163</v>
      </c>
      <c r="C491" s="49" t="s">
        <v>1</v>
      </c>
      <c r="D491" s="2" t="s">
        <v>57</v>
      </c>
      <c r="E491" s="2" t="s">
        <v>490</v>
      </c>
      <c r="F491" s="2" t="s">
        <v>15</v>
      </c>
      <c r="G491" s="2" t="s">
        <v>81</v>
      </c>
      <c r="H491" s="2" t="s">
        <v>83</v>
      </c>
      <c r="I491" s="2"/>
      <c r="J491" s="2">
        <v>1</v>
      </c>
    </row>
    <row r="492" spans="2:10">
      <c r="B492" s="2">
        <v>163</v>
      </c>
      <c r="C492" s="49" t="s">
        <v>1</v>
      </c>
      <c r="D492" s="2" t="s">
        <v>57</v>
      </c>
      <c r="E492" s="2" t="s">
        <v>490</v>
      </c>
      <c r="F492" s="2" t="s">
        <v>15</v>
      </c>
      <c r="G492" s="2" t="s">
        <v>81</v>
      </c>
      <c r="H492" s="2" t="s">
        <v>84</v>
      </c>
      <c r="I492" s="2"/>
      <c r="J492" s="2">
        <v>2</v>
      </c>
    </row>
    <row r="493" spans="2:10">
      <c r="B493" s="2">
        <v>163</v>
      </c>
      <c r="C493" s="49" t="s">
        <v>1</v>
      </c>
      <c r="D493" s="2" t="s">
        <v>57</v>
      </c>
      <c r="E493" s="2" t="s">
        <v>490</v>
      </c>
      <c r="F493" s="2" t="s">
        <v>15</v>
      </c>
      <c r="G493" s="2" t="s">
        <v>81</v>
      </c>
      <c r="H493" s="2" t="s">
        <v>85</v>
      </c>
      <c r="I493" s="2"/>
      <c r="J493" s="2">
        <v>11</v>
      </c>
    </row>
    <row r="494" spans="2:10">
      <c r="B494" s="2">
        <v>163</v>
      </c>
      <c r="C494" s="49" t="s">
        <v>1</v>
      </c>
      <c r="D494" s="2" t="s">
        <v>57</v>
      </c>
      <c r="E494" s="2" t="s">
        <v>490</v>
      </c>
      <c r="F494" s="2" t="s">
        <v>15</v>
      </c>
      <c r="G494" s="2" t="s">
        <v>81</v>
      </c>
      <c r="H494" s="2" t="s">
        <v>86</v>
      </c>
      <c r="I494" s="2"/>
      <c r="J494" s="2">
        <v>1</v>
      </c>
    </row>
    <row r="495" spans="2:10">
      <c r="B495" s="2">
        <v>164</v>
      </c>
      <c r="C495" s="49" t="s">
        <v>1</v>
      </c>
      <c r="D495" s="2" t="s">
        <v>492</v>
      </c>
      <c r="E495" s="2" t="s">
        <v>490</v>
      </c>
      <c r="F495" s="2" t="s">
        <v>69</v>
      </c>
      <c r="G495" s="2" t="s">
        <v>102</v>
      </c>
      <c r="H495" s="2" t="s">
        <v>90</v>
      </c>
      <c r="I495" s="2"/>
      <c r="J495" s="2">
        <v>2</v>
      </c>
    </row>
    <row r="496" spans="2:10">
      <c r="B496" s="2">
        <v>165</v>
      </c>
      <c r="C496" s="49" t="s">
        <v>1</v>
      </c>
      <c r="D496" s="2" t="s">
        <v>53</v>
      </c>
      <c r="E496" s="2" t="s">
        <v>490</v>
      </c>
      <c r="F496" s="2" t="s">
        <v>15</v>
      </c>
      <c r="G496" s="2" t="s">
        <v>81</v>
      </c>
      <c r="H496" s="2" t="s">
        <v>84</v>
      </c>
      <c r="I496" s="2"/>
      <c r="J496" s="2">
        <v>2</v>
      </c>
    </row>
    <row r="497" spans="2:10">
      <c r="B497" s="2">
        <v>165</v>
      </c>
      <c r="C497" s="49" t="s">
        <v>1</v>
      </c>
      <c r="D497" s="2" t="s">
        <v>53</v>
      </c>
      <c r="E497" s="2" t="s">
        <v>490</v>
      </c>
      <c r="F497" s="2" t="s">
        <v>15</v>
      </c>
      <c r="G497" s="2" t="s">
        <v>81</v>
      </c>
      <c r="H497" s="2" t="s">
        <v>86</v>
      </c>
      <c r="I497" s="2"/>
      <c r="J497" s="2">
        <v>3</v>
      </c>
    </row>
    <row r="498" spans="2:10">
      <c r="B498" s="2">
        <v>166</v>
      </c>
      <c r="C498" s="49" t="s">
        <v>1</v>
      </c>
      <c r="D498" s="2" t="s">
        <v>53</v>
      </c>
      <c r="E498" s="2" t="s">
        <v>491</v>
      </c>
      <c r="F498" s="2" t="s">
        <v>66</v>
      </c>
      <c r="G498" s="2" t="s">
        <v>81</v>
      </c>
      <c r="H498" s="2" t="s">
        <v>83</v>
      </c>
      <c r="I498" s="2"/>
      <c r="J498" s="2">
        <v>1</v>
      </c>
    </row>
    <row r="499" spans="2:10">
      <c r="B499" s="2">
        <v>166</v>
      </c>
      <c r="C499" s="49" t="s">
        <v>1</v>
      </c>
      <c r="D499" s="2" t="s">
        <v>53</v>
      </c>
      <c r="E499" s="2" t="s">
        <v>491</v>
      </c>
      <c r="F499" s="2" t="s">
        <v>66</v>
      </c>
      <c r="G499" s="2" t="s">
        <v>103</v>
      </c>
      <c r="H499" s="2" t="s">
        <v>90</v>
      </c>
      <c r="I499" s="2"/>
      <c r="J499" s="2">
        <v>1</v>
      </c>
    </row>
    <row r="500" spans="2:10">
      <c r="B500" s="2">
        <v>166</v>
      </c>
      <c r="C500" s="49" t="s">
        <v>1</v>
      </c>
      <c r="D500" s="2" t="s">
        <v>53</v>
      </c>
      <c r="E500" s="2" t="s">
        <v>491</v>
      </c>
      <c r="F500" s="2" t="s">
        <v>66</v>
      </c>
      <c r="G500" s="2" t="s">
        <v>102</v>
      </c>
      <c r="H500" s="2" t="s">
        <v>91</v>
      </c>
      <c r="I500" s="2"/>
      <c r="J500" s="2">
        <v>1</v>
      </c>
    </row>
    <row r="501" spans="2:10">
      <c r="B501" s="2">
        <v>167</v>
      </c>
      <c r="C501" s="49" t="s">
        <v>1</v>
      </c>
      <c r="D501" s="2" t="s">
        <v>57</v>
      </c>
      <c r="E501" s="2" t="s">
        <v>491</v>
      </c>
      <c r="F501" s="2" t="s">
        <v>15</v>
      </c>
      <c r="G501" s="2" t="s">
        <v>81</v>
      </c>
      <c r="H501" s="2" t="s">
        <v>83</v>
      </c>
      <c r="I501" s="2"/>
      <c r="J501" s="2">
        <v>2</v>
      </c>
    </row>
    <row r="502" spans="2:10">
      <c r="B502" s="2">
        <v>167</v>
      </c>
      <c r="C502" s="49" t="s">
        <v>1</v>
      </c>
      <c r="D502" s="2" t="s">
        <v>57</v>
      </c>
      <c r="E502" s="2" t="s">
        <v>491</v>
      </c>
      <c r="F502" s="2" t="s">
        <v>15</v>
      </c>
      <c r="G502" s="2" t="s">
        <v>81</v>
      </c>
      <c r="H502" s="2" t="s">
        <v>84</v>
      </c>
      <c r="I502" s="2"/>
      <c r="J502" s="2">
        <v>13</v>
      </c>
    </row>
    <row r="503" spans="2:10">
      <c r="B503" s="2">
        <v>167</v>
      </c>
      <c r="C503" s="49" t="s">
        <v>1</v>
      </c>
      <c r="D503" s="2" t="s">
        <v>57</v>
      </c>
      <c r="E503" s="2" t="s">
        <v>491</v>
      </c>
      <c r="F503" s="2" t="s">
        <v>15</v>
      </c>
      <c r="G503" s="2" t="s">
        <v>81</v>
      </c>
      <c r="H503" s="2" t="s">
        <v>85</v>
      </c>
      <c r="I503" s="2"/>
      <c r="J503" s="2">
        <v>5</v>
      </c>
    </row>
    <row r="504" spans="2:10">
      <c r="B504" s="2">
        <v>167</v>
      </c>
      <c r="C504" s="49" t="s">
        <v>1</v>
      </c>
      <c r="D504" s="2" t="s">
        <v>57</v>
      </c>
      <c r="E504" s="2" t="s">
        <v>491</v>
      </c>
      <c r="F504" s="2" t="s">
        <v>15</v>
      </c>
      <c r="G504" s="2" t="s">
        <v>81</v>
      </c>
      <c r="H504" s="2" t="s">
        <v>86</v>
      </c>
      <c r="I504" s="2"/>
      <c r="J504" s="2">
        <v>3</v>
      </c>
    </row>
    <row r="505" spans="2:10">
      <c r="B505" s="2">
        <v>167</v>
      </c>
      <c r="C505" s="49" t="s">
        <v>1</v>
      </c>
      <c r="D505" s="2" t="s">
        <v>57</v>
      </c>
      <c r="E505" s="2" t="s">
        <v>491</v>
      </c>
      <c r="F505" s="2" t="s">
        <v>15</v>
      </c>
      <c r="G505" s="2" t="s">
        <v>102</v>
      </c>
      <c r="H505" s="2" t="s">
        <v>87</v>
      </c>
      <c r="I505" s="2"/>
      <c r="J505" s="2">
        <v>1</v>
      </c>
    </row>
    <row r="506" spans="2:10">
      <c r="B506" s="2">
        <v>167</v>
      </c>
      <c r="C506" s="49" t="s">
        <v>1</v>
      </c>
      <c r="D506" s="2" t="s">
        <v>57</v>
      </c>
      <c r="E506" s="2" t="s">
        <v>491</v>
      </c>
      <c r="F506" s="2" t="s">
        <v>15</v>
      </c>
      <c r="G506" s="2" t="s">
        <v>102</v>
      </c>
      <c r="H506" s="2" t="s">
        <v>92</v>
      </c>
      <c r="I506" s="2"/>
      <c r="J506" s="2">
        <v>1</v>
      </c>
    </row>
    <row r="507" spans="2:10">
      <c r="B507" s="2">
        <v>168</v>
      </c>
      <c r="C507" s="2" t="s">
        <v>1</v>
      </c>
      <c r="D507" s="2" t="s">
        <v>498</v>
      </c>
      <c r="E507" s="2" t="s">
        <v>490</v>
      </c>
      <c r="F507" s="2" t="s">
        <v>72</v>
      </c>
      <c r="G507" s="2" t="s">
        <v>102</v>
      </c>
      <c r="H507" s="2" t="s">
        <v>90</v>
      </c>
      <c r="I507" s="2"/>
      <c r="J507" s="2">
        <v>1</v>
      </c>
    </row>
    <row r="508" spans="2:10">
      <c r="B508" s="2">
        <v>168</v>
      </c>
      <c r="C508" s="2" t="s">
        <v>49</v>
      </c>
      <c r="D508" s="2" t="s">
        <v>498</v>
      </c>
      <c r="E508" s="2"/>
      <c r="F508" s="2" t="s">
        <v>72</v>
      </c>
      <c r="G508" s="2"/>
      <c r="H508" s="2" t="s">
        <v>90</v>
      </c>
      <c r="I508" s="2" t="s">
        <v>108</v>
      </c>
      <c r="J508" s="2">
        <v>1</v>
      </c>
    </row>
    <row r="509" spans="2:10">
      <c r="B509" s="2">
        <v>169</v>
      </c>
      <c r="C509" s="2" t="s">
        <v>1</v>
      </c>
      <c r="D509" s="2" t="s">
        <v>492</v>
      </c>
      <c r="E509" s="2" t="s">
        <v>490</v>
      </c>
      <c r="F509" s="2" t="s">
        <v>72</v>
      </c>
      <c r="G509" s="2" t="s">
        <v>102</v>
      </c>
      <c r="H509" s="2" t="s">
        <v>91</v>
      </c>
      <c r="I509" s="2"/>
      <c r="J509" s="2">
        <v>2</v>
      </c>
    </row>
    <row r="510" spans="2:10">
      <c r="B510" s="2">
        <v>169</v>
      </c>
      <c r="C510" s="2" t="s">
        <v>1</v>
      </c>
      <c r="D510" s="2" t="s">
        <v>499</v>
      </c>
      <c r="E510" s="2" t="s">
        <v>490</v>
      </c>
      <c r="F510" s="2" t="s">
        <v>15</v>
      </c>
      <c r="G510" s="2" t="s">
        <v>81</v>
      </c>
      <c r="H510" s="2" t="s">
        <v>84</v>
      </c>
      <c r="I510" s="2"/>
      <c r="J510" s="2">
        <v>1</v>
      </c>
    </row>
    <row r="511" spans="2:10">
      <c r="B511" s="2">
        <v>169</v>
      </c>
      <c r="C511" s="2" t="s">
        <v>1</v>
      </c>
      <c r="D511" s="2" t="s">
        <v>494</v>
      </c>
      <c r="E511" s="35" t="s">
        <v>491</v>
      </c>
      <c r="F511" s="2" t="s">
        <v>72</v>
      </c>
      <c r="G511" s="2" t="s">
        <v>81</v>
      </c>
      <c r="H511" s="2" t="s">
        <v>82</v>
      </c>
      <c r="I511" s="2"/>
      <c r="J511" s="2">
        <v>1</v>
      </c>
    </row>
    <row r="512" spans="2:10">
      <c r="B512" s="2">
        <v>170</v>
      </c>
      <c r="C512" s="2" t="s">
        <v>1</v>
      </c>
      <c r="D512" s="2" t="s">
        <v>499</v>
      </c>
      <c r="E512" s="2" t="s">
        <v>490</v>
      </c>
      <c r="F512" s="2" t="s">
        <v>73</v>
      </c>
      <c r="G512" s="2" t="s">
        <v>103</v>
      </c>
      <c r="H512" s="2" t="s">
        <v>90</v>
      </c>
      <c r="I512" s="2"/>
      <c r="J512" s="2">
        <v>1</v>
      </c>
    </row>
    <row r="513" spans="2:10">
      <c r="B513" s="2">
        <v>170</v>
      </c>
      <c r="C513" s="2" t="s">
        <v>1</v>
      </c>
      <c r="D513" s="2" t="s">
        <v>499</v>
      </c>
      <c r="E513" s="2" t="s">
        <v>490</v>
      </c>
      <c r="F513" s="2" t="s">
        <v>73</v>
      </c>
      <c r="G513" s="2" t="s">
        <v>103</v>
      </c>
      <c r="H513" s="2" t="s">
        <v>91</v>
      </c>
      <c r="I513" s="2"/>
      <c r="J513" s="2">
        <v>1</v>
      </c>
    </row>
    <row r="514" spans="2:10">
      <c r="B514" s="2">
        <v>170</v>
      </c>
      <c r="C514" s="2" t="s">
        <v>1</v>
      </c>
      <c r="D514" s="2" t="s">
        <v>499</v>
      </c>
      <c r="E514" s="2" t="s">
        <v>490</v>
      </c>
      <c r="F514" s="2" t="s">
        <v>73</v>
      </c>
      <c r="G514" s="2" t="s">
        <v>103</v>
      </c>
      <c r="H514" s="2" t="s">
        <v>92</v>
      </c>
      <c r="I514" s="2"/>
      <c r="J514" s="2">
        <v>1</v>
      </c>
    </row>
    <row r="515" spans="2:10">
      <c r="B515" s="2">
        <v>170</v>
      </c>
      <c r="C515" s="2" t="s">
        <v>1</v>
      </c>
      <c r="D515" s="2" t="s">
        <v>499</v>
      </c>
      <c r="E515" s="2" t="s">
        <v>490</v>
      </c>
      <c r="F515" s="2" t="s">
        <v>73</v>
      </c>
      <c r="G515" s="2" t="s">
        <v>102</v>
      </c>
      <c r="H515" s="2" t="s">
        <v>91</v>
      </c>
      <c r="I515" s="2"/>
      <c r="J515" s="2">
        <v>1</v>
      </c>
    </row>
    <row r="516" spans="2:10">
      <c r="B516" s="2">
        <v>170</v>
      </c>
      <c r="C516" s="2" t="s">
        <v>1</v>
      </c>
      <c r="D516" s="2" t="s">
        <v>53</v>
      </c>
      <c r="E516" s="2" t="s">
        <v>490</v>
      </c>
      <c r="F516" s="2" t="s">
        <v>500</v>
      </c>
      <c r="G516" s="2" t="s">
        <v>102</v>
      </c>
      <c r="H516" s="2" t="s">
        <v>93</v>
      </c>
      <c r="I516" s="2"/>
      <c r="J516" s="2">
        <v>1</v>
      </c>
    </row>
    <row r="517" spans="2:10">
      <c r="B517" s="2">
        <v>171</v>
      </c>
      <c r="C517" s="2" t="s">
        <v>1</v>
      </c>
      <c r="D517" s="2" t="s">
        <v>57</v>
      </c>
      <c r="E517" s="2" t="s">
        <v>490</v>
      </c>
      <c r="F517" s="2" t="s">
        <v>72</v>
      </c>
      <c r="G517" s="2" t="s">
        <v>81</v>
      </c>
      <c r="H517" s="2" t="s">
        <v>84</v>
      </c>
      <c r="I517" s="2"/>
      <c r="J517" s="2">
        <v>9</v>
      </c>
    </row>
    <row r="518" spans="2:10">
      <c r="B518" s="2">
        <v>171</v>
      </c>
      <c r="C518" s="2" t="s">
        <v>1</v>
      </c>
      <c r="D518" s="2" t="s">
        <v>57</v>
      </c>
      <c r="E518" s="2" t="s">
        <v>490</v>
      </c>
      <c r="F518" s="2" t="s">
        <v>72</v>
      </c>
      <c r="G518" s="2" t="s">
        <v>81</v>
      </c>
      <c r="H518" s="2" t="s">
        <v>85</v>
      </c>
      <c r="I518" s="2"/>
      <c r="J518" s="2">
        <v>6</v>
      </c>
    </row>
    <row r="519" spans="2:10">
      <c r="B519" s="2">
        <v>171</v>
      </c>
      <c r="C519" s="2" t="s">
        <v>1</v>
      </c>
      <c r="D519" s="2" t="s">
        <v>57</v>
      </c>
      <c r="E519" s="2" t="s">
        <v>490</v>
      </c>
      <c r="F519" s="2" t="s">
        <v>72</v>
      </c>
      <c r="G519" s="2" t="s">
        <v>81</v>
      </c>
      <c r="H519" s="2" t="s">
        <v>86</v>
      </c>
      <c r="I519" s="2"/>
      <c r="J519" s="2">
        <v>4</v>
      </c>
    </row>
    <row r="520" spans="2:10">
      <c r="B520" s="2">
        <v>171</v>
      </c>
      <c r="C520" s="2" t="s">
        <v>1</v>
      </c>
      <c r="D520" s="2" t="s">
        <v>57</v>
      </c>
      <c r="E520" s="35" t="s">
        <v>491</v>
      </c>
      <c r="F520" s="2" t="s">
        <v>72</v>
      </c>
      <c r="G520" s="2" t="s">
        <v>103</v>
      </c>
      <c r="H520" s="2" t="s">
        <v>89</v>
      </c>
      <c r="I520" s="2"/>
      <c r="J520" s="2">
        <v>1</v>
      </c>
    </row>
    <row r="521" spans="2:10">
      <c r="B521" s="2">
        <v>171</v>
      </c>
      <c r="C521" s="2" t="s">
        <v>1</v>
      </c>
      <c r="D521" s="2" t="s">
        <v>57</v>
      </c>
      <c r="E521" s="35" t="s">
        <v>491</v>
      </c>
      <c r="F521" s="2" t="s">
        <v>72</v>
      </c>
      <c r="G521" s="2" t="s">
        <v>103</v>
      </c>
      <c r="H521" s="2" t="s">
        <v>90</v>
      </c>
      <c r="I521" s="2"/>
      <c r="J521" s="2">
        <v>5</v>
      </c>
    </row>
    <row r="522" spans="2:10">
      <c r="B522" s="2">
        <v>171</v>
      </c>
      <c r="C522" s="2" t="s">
        <v>1</v>
      </c>
      <c r="D522" s="2" t="s">
        <v>57</v>
      </c>
      <c r="E522" s="35" t="s">
        <v>491</v>
      </c>
      <c r="F522" s="2" t="s">
        <v>72</v>
      </c>
      <c r="G522" s="2" t="s">
        <v>102</v>
      </c>
      <c r="H522" s="2" t="s">
        <v>91</v>
      </c>
      <c r="I522" s="2"/>
      <c r="J522" s="2">
        <v>1</v>
      </c>
    </row>
    <row r="523" spans="2:10">
      <c r="B523" s="2">
        <v>172</v>
      </c>
      <c r="C523" s="2" t="s">
        <v>1</v>
      </c>
      <c r="D523" s="2" t="s">
        <v>53</v>
      </c>
      <c r="E523" s="2" t="s">
        <v>490</v>
      </c>
      <c r="F523" s="2" t="s">
        <v>72</v>
      </c>
      <c r="G523" s="2" t="s">
        <v>102</v>
      </c>
      <c r="H523" s="2" t="s">
        <v>90</v>
      </c>
      <c r="I523" s="2"/>
      <c r="J523" s="2">
        <v>1</v>
      </c>
    </row>
    <row r="524" spans="2:10">
      <c r="B524" s="2">
        <v>172</v>
      </c>
      <c r="C524" s="2" t="s">
        <v>1</v>
      </c>
      <c r="D524" s="2" t="s">
        <v>53</v>
      </c>
      <c r="E524" s="2" t="s">
        <v>490</v>
      </c>
      <c r="F524" s="2" t="s">
        <v>72</v>
      </c>
      <c r="G524" s="2" t="s">
        <v>102</v>
      </c>
      <c r="H524" s="2" t="s">
        <v>91</v>
      </c>
      <c r="I524" s="2"/>
      <c r="J524" s="2">
        <v>1</v>
      </c>
    </row>
    <row r="525" spans="2:10">
      <c r="B525" s="2">
        <v>173</v>
      </c>
      <c r="C525" s="49" t="s">
        <v>1</v>
      </c>
      <c r="D525" s="2" t="s">
        <v>498</v>
      </c>
      <c r="E525" s="2" t="s">
        <v>490</v>
      </c>
      <c r="F525" s="2" t="s">
        <v>72</v>
      </c>
      <c r="G525" s="2" t="s">
        <v>102</v>
      </c>
      <c r="H525" s="2" t="s">
        <v>90</v>
      </c>
      <c r="I525" s="2"/>
      <c r="J525" s="2">
        <v>1</v>
      </c>
    </row>
    <row r="526" spans="2:10">
      <c r="B526" s="2">
        <v>173</v>
      </c>
      <c r="C526" s="49" t="s">
        <v>49</v>
      </c>
      <c r="D526" s="2" t="s">
        <v>498</v>
      </c>
      <c r="E526" s="2"/>
      <c r="F526" s="2" t="s">
        <v>72</v>
      </c>
      <c r="G526" s="2"/>
      <c r="H526" s="2" t="s">
        <v>90</v>
      </c>
      <c r="I526" s="2" t="s">
        <v>108</v>
      </c>
      <c r="J526" s="2">
        <v>1</v>
      </c>
    </row>
    <row r="527" spans="2:10">
      <c r="B527" s="2">
        <v>174</v>
      </c>
      <c r="C527" s="49" t="s">
        <v>1</v>
      </c>
      <c r="D527" s="2" t="s">
        <v>492</v>
      </c>
      <c r="E527" s="2" t="s">
        <v>490</v>
      </c>
      <c r="F527" s="2" t="s">
        <v>72</v>
      </c>
      <c r="G527" s="2" t="s">
        <v>102</v>
      </c>
      <c r="H527" s="2" t="s">
        <v>91</v>
      </c>
      <c r="I527" s="2"/>
      <c r="J527" s="2">
        <v>2</v>
      </c>
    </row>
    <row r="528" spans="2:10">
      <c r="B528" s="2">
        <v>174</v>
      </c>
      <c r="C528" s="49" t="s">
        <v>1</v>
      </c>
      <c r="D528" s="2" t="s">
        <v>499</v>
      </c>
      <c r="E528" s="2" t="s">
        <v>490</v>
      </c>
      <c r="F528" s="2" t="s">
        <v>15</v>
      </c>
      <c r="G528" s="2" t="s">
        <v>81</v>
      </c>
      <c r="H528" s="2" t="s">
        <v>84</v>
      </c>
      <c r="I528" s="2"/>
      <c r="J528" s="2">
        <v>1</v>
      </c>
    </row>
    <row r="529" spans="2:10">
      <c r="B529" s="2">
        <v>174</v>
      </c>
      <c r="C529" s="49" t="s">
        <v>1</v>
      </c>
      <c r="D529" s="2" t="s">
        <v>494</v>
      </c>
      <c r="E529" s="2" t="s">
        <v>491</v>
      </c>
      <c r="F529" s="2" t="s">
        <v>72</v>
      </c>
      <c r="G529" s="2" t="s">
        <v>81</v>
      </c>
      <c r="H529" s="2" t="s">
        <v>82</v>
      </c>
      <c r="I529" s="2"/>
      <c r="J529" s="2">
        <v>1</v>
      </c>
    </row>
    <row r="530" spans="2:10">
      <c r="B530" s="2">
        <v>175</v>
      </c>
      <c r="C530" s="49" t="s">
        <v>1</v>
      </c>
      <c r="D530" s="2" t="s">
        <v>499</v>
      </c>
      <c r="E530" s="2" t="s">
        <v>490</v>
      </c>
      <c r="F530" s="2" t="s">
        <v>73</v>
      </c>
      <c r="G530" s="2" t="s">
        <v>103</v>
      </c>
      <c r="H530" s="2" t="s">
        <v>90</v>
      </c>
      <c r="I530" s="2"/>
      <c r="J530" s="2">
        <v>1</v>
      </c>
    </row>
    <row r="531" spans="2:10">
      <c r="B531" s="2">
        <v>175</v>
      </c>
      <c r="C531" s="49" t="s">
        <v>1</v>
      </c>
      <c r="D531" s="2" t="s">
        <v>499</v>
      </c>
      <c r="E531" s="2" t="s">
        <v>490</v>
      </c>
      <c r="F531" s="2" t="s">
        <v>73</v>
      </c>
      <c r="G531" s="2" t="s">
        <v>103</v>
      </c>
      <c r="H531" s="2" t="s">
        <v>91</v>
      </c>
      <c r="I531" s="2"/>
      <c r="J531" s="2">
        <v>1</v>
      </c>
    </row>
    <row r="532" spans="2:10">
      <c r="B532" s="2">
        <v>175</v>
      </c>
      <c r="C532" s="49" t="s">
        <v>1</v>
      </c>
      <c r="D532" s="2" t="s">
        <v>499</v>
      </c>
      <c r="E532" s="2" t="s">
        <v>490</v>
      </c>
      <c r="F532" s="2" t="s">
        <v>73</v>
      </c>
      <c r="G532" s="2" t="s">
        <v>103</v>
      </c>
      <c r="H532" s="2" t="s">
        <v>92</v>
      </c>
      <c r="I532" s="2"/>
      <c r="J532" s="2">
        <v>1</v>
      </c>
    </row>
    <row r="533" spans="2:10">
      <c r="B533" s="2">
        <v>175</v>
      </c>
      <c r="C533" s="49" t="s">
        <v>1</v>
      </c>
      <c r="D533" s="2" t="s">
        <v>499</v>
      </c>
      <c r="E533" s="2" t="s">
        <v>490</v>
      </c>
      <c r="F533" s="2" t="s">
        <v>73</v>
      </c>
      <c r="G533" s="2" t="s">
        <v>102</v>
      </c>
      <c r="H533" s="2" t="s">
        <v>91</v>
      </c>
      <c r="I533" s="2"/>
      <c r="J533" s="2">
        <v>1</v>
      </c>
    </row>
    <row r="534" spans="2:10">
      <c r="B534" s="2">
        <v>176</v>
      </c>
      <c r="C534" s="49" t="s">
        <v>1</v>
      </c>
      <c r="D534" s="2" t="s">
        <v>53</v>
      </c>
      <c r="E534" s="2" t="s">
        <v>490</v>
      </c>
      <c r="F534" s="2" t="s">
        <v>68</v>
      </c>
      <c r="G534" s="2" t="s">
        <v>102</v>
      </c>
      <c r="H534" s="2" t="s">
        <v>93</v>
      </c>
      <c r="I534" s="2"/>
      <c r="J534" s="2">
        <v>1</v>
      </c>
    </row>
    <row r="535" spans="2:10">
      <c r="B535" s="2">
        <v>177</v>
      </c>
      <c r="C535" s="49" t="s">
        <v>1</v>
      </c>
      <c r="D535" s="2" t="s">
        <v>57</v>
      </c>
      <c r="E535" s="2" t="s">
        <v>490</v>
      </c>
      <c r="F535" s="2" t="s">
        <v>72</v>
      </c>
      <c r="G535" s="2" t="s">
        <v>81</v>
      </c>
      <c r="H535" s="2" t="s">
        <v>84</v>
      </c>
      <c r="I535" s="2"/>
      <c r="J535" s="2">
        <v>9</v>
      </c>
    </row>
    <row r="536" spans="2:10">
      <c r="B536" s="2">
        <v>177</v>
      </c>
      <c r="C536" s="49" t="s">
        <v>1</v>
      </c>
      <c r="D536" s="2" t="s">
        <v>57</v>
      </c>
      <c r="E536" s="2" t="s">
        <v>490</v>
      </c>
      <c r="F536" s="2" t="s">
        <v>72</v>
      </c>
      <c r="G536" s="2" t="s">
        <v>81</v>
      </c>
      <c r="H536" s="2" t="s">
        <v>85</v>
      </c>
      <c r="I536" s="2"/>
      <c r="J536" s="2">
        <v>6</v>
      </c>
    </row>
    <row r="537" spans="2:10">
      <c r="B537" s="2">
        <v>177</v>
      </c>
      <c r="C537" s="49" t="s">
        <v>1</v>
      </c>
      <c r="D537" s="2" t="s">
        <v>57</v>
      </c>
      <c r="E537" s="2" t="s">
        <v>490</v>
      </c>
      <c r="F537" s="2" t="s">
        <v>72</v>
      </c>
      <c r="G537" s="2" t="s">
        <v>81</v>
      </c>
      <c r="H537" s="2" t="s">
        <v>86</v>
      </c>
      <c r="I537" s="2"/>
      <c r="J537" s="2">
        <v>4</v>
      </c>
    </row>
    <row r="538" spans="2:10">
      <c r="B538" s="2">
        <v>177</v>
      </c>
      <c r="C538" s="49" t="s">
        <v>1</v>
      </c>
      <c r="D538" s="2" t="s">
        <v>57</v>
      </c>
      <c r="E538" s="2" t="s">
        <v>491</v>
      </c>
      <c r="F538" s="2" t="s">
        <v>72</v>
      </c>
      <c r="G538" s="2" t="s">
        <v>103</v>
      </c>
      <c r="H538" s="2" t="s">
        <v>89</v>
      </c>
      <c r="I538" s="2"/>
      <c r="J538" s="2">
        <v>1</v>
      </c>
    </row>
    <row r="539" spans="2:10">
      <c r="B539" s="2">
        <v>177</v>
      </c>
      <c r="C539" s="49" t="s">
        <v>1</v>
      </c>
      <c r="D539" s="2" t="s">
        <v>57</v>
      </c>
      <c r="E539" s="2" t="s">
        <v>491</v>
      </c>
      <c r="F539" s="2" t="s">
        <v>72</v>
      </c>
      <c r="G539" s="2" t="s">
        <v>103</v>
      </c>
      <c r="H539" s="2" t="s">
        <v>90</v>
      </c>
      <c r="I539" s="2"/>
      <c r="J539" s="2">
        <v>5</v>
      </c>
    </row>
    <row r="540" spans="2:10">
      <c r="B540" s="2">
        <v>177</v>
      </c>
      <c r="C540" s="49" t="s">
        <v>1</v>
      </c>
      <c r="D540" s="2" t="s">
        <v>57</v>
      </c>
      <c r="E540" s="2" t="s">
        <v>491</v>
      </c>
      <c r="F540" s="2" t="s">
        <v>72</v>
      </c>
      <c r="G540" s="2" t="s">
        <v>102</v>
      </c>
      <c r="H540" s="2" t="s">
        <v>91</v>
      </c>
      <c r="I540" s="2"/>
      <c r="J540" s="2">
        <v>1</v>
      </c>
    </row>
    <row r="541" spans="2:10">
      <c r="B541" s="2">
        <v>178</v>
      </c>
      <c r="C541" s="49" t="s">
        <v>1</v>
      </c>
      <c r="D541" s="2" t="s">
        <v>501</v>
      </c>
      <c r="E541" s="2" t="s">
        <v>490</v>
      </c>
      <c r="F541" s="2" t="s">
        <v>72</v>
      </c>
      <c r="G541" s="2" t="s">
        <v>102</v>
      </c>
      <c r="H541" s="2" t="s">
        <v>90</v>
      </c>
      <c r="I541" s="2"/>
      <c r="J541" s="2">
        <v>1</v>
      </c>
    </row>
    <row r="542" spans="2:10">
      <c r="B542" s="2">
        <v>178</v>
      </c>
      <c r="C542" s="49" t="s">
        <v>1</v>
      </c>
      <c r="D542" s="2" t="s">
        <v>501</v>
      </c>
      <c r="E542" s="2" t="s">
        <v>490</v>
      </c>
      <c r="F542" s="2" t="s">
        <v>72</v>
      </c>
      <c r="G542" s="2" t="s">
        <v>102</v>
      </c>
      <c r="H542" s="2" t="s">
        <v>91</v>
      </c>
      <c r="I542" s="2"/>
      <c r="J542" s="2">
        <v>1</v>
      </c>
    </row>
    <row r="543" spans="2:10">
      <c r="B543" s="2">
        <v>179</v>
      </c>
      <c r="C543" s="2" t="s">
        <v>47</v>
      </c>
      <c r="D543" s="2" t="s">
        <v>499</v>
      </c>
      <c r="E543" s="2" t="s">
        <v>99</v>
      </c>
      <c r="F543" s="2" t="s">
        <v>73</v>
      </c>
      <c r="G543" s="2" t="s">
        <v>105</v>
      </c>
      <c r="H543" s="2" t="s">
        <v>87</v>
      </c>
      <c r="I543" s="2"/>
      <c r="J543" s="2">
        <v>1</v>
      </c>
    </row>
    <row r="544" spans="2:10">
      <c r="B544" s="2">
        <v>179</v>
      </c>
      <c r="C544" s="2" t="s">
        <v>47</v>
      </c>
      <c r="D544" s="2" t="s">
        <v>499</v>
      </c>
      <c r="E544" s="2" t="s">
        <v>99</v>
      </c>
      <c r="F544" s="2" t="s">
        <v>73</v>
      </c>
      <c r="G544" s="2" t="s">
        <v>105</v>
      </c>
      <c r="H544" s="2" t="s">
        <v>90</v>
      </c>
      <c r="I544" s="2"/>
      <c r="J544" s="2">
        <v>1</v>
      </c>
    </row>
    <row r="545" spans="2:10">
      <c r="B545" s="2">
        <v>179</v>
      </c>
      <c r="C545" s="2" t="s">
        <v>47</v>
      </c>
      <c r="D545" s="2" t="s">
        <v>499</v>
      </c>
      <c r="E545" s="2" t="s">
        <v>99</v>
      </c>
      <c r="F545" s="2" t="s">
        <v>72</v>
      </c>
      <c r="G545" s="2" t="s">
        <v>105</v>
      </c>
      <c r="H545" s="2" t="s">
        <v>89</v>
      </c>
      <c r="I545" s="2"/>
      <c r="J545" s="2">
        <v>1</v>
      </c>
    </row>
    <row r="546" spans="2:10">
      <c r="B546" s="2">
        <v>179</v>
      </c>
      <c r="C546" s="2" t="s">
        <v>47</v>
      </c>
      <c r="D546" s="2" t="s">
        <v>499</v>
      </c>
      <c r="E546" s="2" t="s">
        <v>99</v>
      </c>
      <c r="F546" s="2" t="s">
        <v>72</v>
      </c>
      <c r="G546" s="2" t="s">
        <v>105</v>
      </c>
      <c r="H546" s="2" t="s">
        <v>91</v>
      </c>
      <c r="I546" s="2"/>
      <c r="J546" s="2">
        <v>1</v>
      </c>
    </row>
    <row r="547" spans="2:10">
      <c r="B547" s="2">
        <v>179</v>
      </c>
      <c r="C547" s="2" t="s">
        <v>47</v>
      </c>
      <c r="D547" s="2" t="s">
        <v>499</v>
      </c>
      <c r="E547" s="2" t="s">
        <v>99</v>
      </c>
      <c r="F547" s="2" t="s">
        <v>72</v>
      </c>
      <c r="G547" s="2" t="s">
        <v>105</v>
      </c>
      <c r="H547" s="2" t="s">
        <v>84</v>
      </c>
      <c r="I547" s="2"/>
      <c r="J547" s="2">
        <v>1</v>
      </c>
    </row>
    <row r="548" spans="2:10">
      <c r="B548" s="2">
        <v>179</v>
      </c>
      <c r="C548" s="2" t="s">
        <v>47</v>
      </c>
      <c r="D548" s="2" t="s">
        <v>499</v>
      </c>
      <c r="E548" s="2" t="s">
        <v>99</v>
      </c>
      <c r="F548" s="2" t="s">
        <v>72</v>
      </c>
      <c r="G548" s="2" t="s">
        <v>105</v>
      </c>
      <c r="H548" s="2" t="s">
        <v>91</v>
      </c>
      <c r="I548" s="2"/>
      <c r="J548" s="2">
        <v>1</v>
      </c>
    </row>
    <row r="549" spans="2:10">
      <c r="B549" s="2">
        <v>179</v>
      </c>
      <c r="C549" s="2" t="s">
        <v>47</v>
      </c>
      <c r="D549" s="2" t="s">
        <v>499</v>
      </c>
      <c r="E549" s="2" t="s">
        <v>99</v>
      </c>
      <c r="F549" s="2" t="s">
        <v>15</v>
      </c>
      <c r="G549" s="2" t="s">
        <v>105</v>
      </c>
      <c r="H549" s="2" t="s">
        <v>91</v>
      </c>
      <c r="I549" s="2"/>
      <c r="J549" s="2">
        <v>1</v>
      </c>
    </row>
    <row r="550" spans="2:10">
      <c r="B550" s="2">
        <v>179</v>
      </c>
      <c r="C550" s="2" t="s">
        <v>47</v>
      </c>
      <c r="D550" s="2" t="s">
        <v>499</v>
      </c>
      <c r="E550" s="2" t="s">
        <v>99</v>
      </c>
      <c r="F550" s="2" t="s">
        <v>73</v>
      </c>
      <c r="G550" s="2" t="s">
        <v>105</v>
      </c>
      <c r="H550" s="2" t="s">
        <v>91</v>
      </c>
      <c r="I550" s="2"/>
      <c r="J550" s="2">
        <v>1</v>
      </c>
    </row>
    <row r="551" spans="2:10">
      <c r="B551" s="2">
        <v>179</v>
      </c>
      <c r="C551" s="2" t="s">
        <v>47</v>
      </c>
      <c r="D551" s="2" t="s">
        <v>499</v>
      </c>
      <c r="E551" s="2" t="s">
        <v>99</v>
      </c>
      <c r="F551" s="2" t="s">
        <v>73</v>
      </c>
      <c r="G551" s="2" t="s">
        <v>105</v>
      </c>
      <c r="H551" s="2" t="s">
        <v>91</v>
      </c>
      <c r="I551" s="2"/>
      <c r="J551" s="2">
        <v>1</v>
      </c>
    </row>
    <row r="552" spans="2:10">
      <c r="B552" s="2">
        <v>179</v>
      </c>
      <c r="C552" s="2" t="s">
        <v>47</v>
      </c>
      <c r="D552" s="2" t="s">
        <v>499</v>
      </c>
      <c r="E552" s="2" t="s">
        <v>99</v>
      </c>
      <c r="F552" s="2" t="s">
        <v>15</v>
      </c>
      <c r="G552" s="2" t="s">
        <v>105</v>
      </c>
      <c r="H552" s="2" t="s">
        <v>91</v>
      </c>
      <c r="I552" s="2"/>
      <c r="J552" s="2">
        <v>1</v>
      </c>
    </row>
    <row r="553" spans="2:10">
      <c r="B553" s="2">
        <v>179</v>
      </c>
      <c r="C553" s="2" t="s">
        <v>47</v>
      </c>
      <c r="D553" s="2" t="s">
        <v>499</v>
      </c>
      <c r="E553" s="2" t="s">
        <v>99</v>
      </c>
      <c r="F553" s="2" t="s">
        <v>72</v>
      </c>
      <c r="G553" s="2" t="s">
        <v>105</v>
      </c>
      <c r="H553" s="2" t="s">
        <v>91</v>
      </c>
      <c r="I553" s="2"/>
      <c r="J553" s="2">
        <v>2</v>
      </c>
    </row>
    <row r="554" spans="2:10">
      <c r="B554" s="2">
        <v>180</v>
      </c>
      <c r="C554" s="2" t="s">
        <v>1</v>
      </c>
      <c r="D554" s="2" t="s">
        <v>57</v>
      </c>
      <c r="E554" s="35" t="s">
        <v>491</v>
      </c>
      <c r="F554" s="2" t="s">
        <v>15</v>
      </c>
      <c r="G554" s="2" t="s">
        <v>81</v>
      </c>
      <c r="H554" s="2" t="s">
        <v>84</v>
      </c>
      <c r="I554" s="2"/>
      <c r="J554" s="2">
        <v>5</v>
      </c>
    </row>
    <row r="555" spans="2:10">
      <c r="B555" s="2">
        <v>180</v>
      </c>
      <c r="C555" s="2" t="s">
        <v>1</v>
      </c>
      <c r="D555" s="2" t="s">
        <v>57</v>
      </c>
      <c r="E555" s="35" t="s">
        <v>491</v>
      </c>
      <c r="F555" s="2" t="s">
        <v>15</v>
      </c>
      <c r="G555" s="2" t="s">
        <v>81</v>
      </c>
      <c r="H555" s="2" t="s">
        <v>85</v>
      </c>
      <c r="I555" s="2"/>
      <c r="J555" s="2">
        <v>6</v>
      </c>
    </row>
    <row r="556" spans="2:10">
      <c r="B556" s="2">
        <v>180</v>
      </c>
      <c r="C556" s="2" t="s">
        <v>1</v>
      </c>
      <c r="D556" s="2" t="s">
        <v>57</v>
      </c>
      <c r="E556" s="35" t="s">
        <v>491</v>
      </c>
      <c r="F556" s="2" t="s">
        <v>15</v>
      </c>
      <c r="G556" s="2" t="s">
        <v>103</v>
      </c>
      <c r="H556" s="2" t="s">
        <v>90</v>
      </c>
      <c r="I556" s="2"/>
      <c r="J556" s="2">
        <v>1</v>
      </c>
    </row>
    <row r="557" spans="2:10">
      <c r="B557" s="2">
        <v>180</v>
      </c>
      <c r="C557" s="2" t="s">
        <v>1</v>
      </c>
      <c r="D557" s="2" t="s">
        <v>57</v>
      </c>
      <c r="E557" s="35" t="s">
        <v>491</v>
      </c>
      <c r="F557" s="2" t="s">
        <v>15</v>
      </c>
      <c r="G557" s="2" t="s">
        <v>103</v>
      </c>
      <c r="H557" s="2" t="s">
        <v>91</v>
      </c>
      <c r="I557" s="2"/>
      <c r="J557" s="2">
        <v>1</v>
      </c>
    </row>
    <row r="558" spans="2:10">
      <c r="B558" s="2">
        <v>181</v>
      </c>
      <c r="C558" s="49" t="s">
        <v>47</v>
      </c>
      <c r="D558" s="2" t="s">
        <v>499</v>
      </c>
      <c r="E558" s="2" t="s">
        <v>99</v>
      </c>
      <c r="F558" s="2" t="s">
        <v>73</v>
      </c>
      <c r="G558" s="2" t="s">
        <v>105</v>
      </c>
      <c r="H558" s="2" t="s">
        <v>87</v>
      </c>
      <c r="I558" s="2"/>
      <c r="J558" s="2">
        <v>1</v>
      </c>
    </row>
    <row r="559" spans="2:10">
      <c r="B559" s="2">
        <v>181</v>
      </c>
      <c r="C559" s="49" t="s">
        <v>47</v>
      </c>
      <c r="D559" s="2" t="s">
        <v>499</v>
      </c>
      <c r="E559" s="2" t="s">
        <v>99</v>
      </c>
      <c r="F559" s="2" t="s">
        <v>73</v>
      </c>
      <c r="G559" s="2" t="s">
        <v>105</v>
      </c>
      <c r="H559" s="2" t="s">
        <v>90</v>
      </c>
      <c r="I559" s="2"/>
      <c r="J559" s="2">
        <v>1</v>
      </c>
    </row>
    <row r="560" spans="2:10">
      <c r="B560" s="2">
        <v>181</v>
      </c>
      <c r="C560" s="49" t="s">
        <v>47</v>
      </c>
      <c r="D560" s="2" t="s">
        <v>499</v>
      </c>
      <c r="E560" s="2" t="s">
        <v>99</v>
      </c>
      <c r="F560" s="2" t="s">
        <v>72</v>
      </c>
      <c r="G560" s="2" t="s">
        <v>105</v>
      </c>
      <c r="H560" s="2" t="s">
        <v>89</v>
      </c>
      <c r="I560" s="2"/>
      <c r="J560" s="2">
        <v>1</v>
      </c>
    </row>
    <row r="561" spans="2:10">
      <c r="B561" s="2">
        <v>181</v>
      </c>
      <c r="C561" s="49" t="s">
        <v>47</v>
      </c>
      <c r="D561" s="2" t="s">
        <v>499</v>
      </c>
      <c r="E561" s="2" t="s">
        <v>99</v>
      </c>
      <c r="F561" s="2" t="s">
        <v>72</v>
      </c>
      <c r="G561" s="2" t="s">
        <v>105</v>
      </c>
      <c r="H561" s="2" t="s">
        <v>91</v>
      </c>
      <c r="I561" s="2"/>
      <c r="J561" s="2">
        <v>1</v>
      </c>
    </row>
    <row r="562" spans="2:10">
      <c r="B562" s="2">
        <v>182</v>
      </c>
      <c r="C562" s="49" t="s">
        <v>47</v>
      </c>
      <c r="D562" s="2" t="s">
        <v>499</v>
      </c>
      <c r="E562" s="2" t="s">
        <v>99</v>
      </c>
      <c r="F562" s="2" t="s">
        <v>72</v>
      </c>
      <c r="G562" s="2" t="s">
        <v>105</v>
      </c>
      <c r="H562" s="2" t="s">
        <v>84</v>
      </c>
      <c r="I562" s="2"/>
      <c r="J562" s="2">
        <v>1</v>
      </c>
    </row>
    <row r="563" spans="2:10">
      <c r="B563" s="2">
        <v>182</v>
      </c>
      <c r="C563" s="49" t="s">
        <v>47</v>
      </c>
      <c r="D563" s="2" t="s">
        <v>499</v>
      </c>
      <c r="E563" s="2" t="s">
        <v>99</v>
      </c>
      <c r="F563" s="2" t="s">
        <v>72</v>
      </c>
      <c r="G563" s="2" t="s">
        <v>105</v>
      </c>
      <c r="H563" s="2" t="s">
        <v>91</v>
      </c>
      <c r="I563" s="2"/>
      <c r="J563" s="2">
        <v>1</v>
      </c>
    </row>
    <row r="564" spans="2:10">
      <c r="B564" s="2">
        <v>182</v>
      </c>
      <c r="C564" s="49" t="s">
        <v>47</v>
      </c>
      <c r="D564" s="2" t="s">
        <v>499</v>
      </c>
      <c r="E564" s="2" t="s">
        <v>99</v>
      </c>
      <c r="F564" s="2" t="s">
        <v>15</v>
      </c>
      <c r="G564" s="2" t="s">
        <v>105</v>
      </c>
      <c r="H564" s="2" t="s">
        <v>91</v>
      </c>
      <c r="I564" s="2"/>
      <c r="J564" s="2">
        <v>1</v>
      </c>
    </row>
    <row r="565" spans="2:10">
      <c r="B565" s="2">
        <v>182</v>
      </c>
      <c r="C565" s="49" t="s">
        <v>47</v>
      </c>
      <c r="D565" s="2" t="s">
        <v>499</v>
      </c>
      <c r="E565" s="2" t="s">
        <v>99</v>
      </c>
      <c r="F565" s="2" t="s">
        <v>73</v>
      </c>
      <c r="G565" s="2" t="s">
        <v>105</v>
      </c>
      <c r="H565" s="2" t="s">
        <v>91</v>
      </c>
      <c r="I565" s="2"/>
      <c r="J565" s="2">
        <v>1</v>
      </c>
    </row>
    <row r="566" spans="2:10">
      <c r="B566" s="2">
        <v>183</v>
      </c>
      <c r="C566" s="49" t="s">
        <v>47</v>
      </c>
      <c r="D566" s="2" t="s">
        <v>499</v>
      </c>
      <c r="E566" s="2" t="s">
        <v>99</v>
      </c>
      <c r="F566" s="2" t="s">
        <v>73</v>
      </c>
      <c r="G566" s="2" t="s">
        <v>105</v>
      </c>
      <c r="H566" s="2" t="s">
        <v>91</v>
      </c>
      <c r="I566" s="2"/>
      <c r="J566" s="2">
        <v>1</v>
      </c>
    </row>
    <row r="567" spans="2:10">
      <c r="B567" s="2">
        <v>183</v>
      </c>
      <c r="C567" s="49" t="s">
        <v>47</v>
      </c>
      <c r="D567" s="2" t="s">
        <v>499</v>
      </c>
      <c r="E567" s="2" t="s">
        <v>99</v>
      </c>
      <c r="F567" s="2" t="s">
        <v>15</v>
      </c>
      <c r="G567" s="2" t="s">
        <v>105</v>
      </c>
      <c r="H567" s="2" t="s">
        <v>91</v>
      </c>
      <c r="I567" s="2"/>
      <c r="J567" s="2">
        <v>1</v>
      </c>
    </row>
    <row r="568" spans="2:10">
      <c r="B568" s="2">
        <v>183</v>
      </c>
      <c r="C568" s="49" t="s">
        <v>47</v>
      </c>
      <c r="D568" s="2" t="s">
        <v>499</v>
      </c>
      <c r="E568" s="2" t="s">
        <v>99</v>
      </c>
      <c r="F568" s="2" t="s">
        <v>72</v>
      </c>
      <c r="G568" s="2" t="s">
        <v>105</v>
      </c>
      <c r="H568" s="2" t="s">
        <v>91</v>
      </c>
      <c r="I568" s="2"/>
      <c r="J568" s="2">
        <v>2</v>
      </c>
    </row>
    <row r="569" spans="2:10">
      <c r="B569" s="2">
        <v>184</v>
      </c>
      <c r="C569" s="49" t="s">
        <v>1</v>
      </c>
      <c r="D569" s="2" t="s">
        <v>57</v>
      </c>
      <c r="E569" s="2" t="s">
        <v>491</v>
      </c>
      <c r="F569" s="2" t="s">
        <v>15</v>
      </c>
      <c r="G569" s="2" t="s">
        <v>81</v>
      </c>
      <c r="H569" s="2" t="s">
        <v>84</v>
      </c>
      <c r="I569" s="2"/>
      <c r="J569" s="2">
        <v>5</v>
      </c>
    </row>
    <row r="570" spans="2:10">
      <c r="B570" s="2">
        <v>184</v>
      </c>
      <c r="C570" s="49" t="s">
        <v>1</v>
      </c>
      <c r="D570" s="2" t="s">
        <v>57</v>
      </c>
      <c r="E570" s="2" t="s">
        <v>491</v>
      </c>
      <c r="F570" s="2" t="s">
        <v>15</v>
      </c>
      <c r="G570" s="2" t="s">
        <v>81</v>
      </c>
      <c r="H570" s="2" t="s">
        <v>85</v>
      </c>
      <c r="I570" s="2"/>
      <c r="J570" s="2">
        <v>6</v>
      </c>
    </row>
    <row r="571" spans="2:10">
      <c r="B571" s="2">
        <v>185</v>
      </c>
      <c r="C571" s="49" t="s">
        <v>1</v>
      </c>
      <c r="D571" s="2" t="s">
        <v>57</v>
      </c>
      <c r="E571" s="2" t="s">
        <v>491</v>
      </c>
      <c r="F571" s="2" t="s">
        <v>15</v>
      </c>
      <c r="G571" s="2" t="s">
        <v>103</v>
      </c>
      <c r="H571" s="2" t="s">
        <v>90</v>
      </c>
      <c r="I571" s="2"/>
      <c r="J571" s="2">
        <v>1</v>
      </c>
    </row>
    <row r="572" spans="2:10">
      <c r="B572" s="2">
        <v>185</v>
      </c>
      <c r="C572" s="49" t="s">
        <v>1</v>
      </c>
      <c r="D572" s="2" t="s">
        <v>57</v>
      </c>
      <c r="E572" s="2" t="s">
        <v>491</v>
      </c>
      <c r="F572" s="2" t="s">
        <v>15</v>
      </c>
      <c r="G572" s="2" t="s">
        <v>103</v>
      </c>
      <c r="H572" s="2" t="s">
        <v>91</v>
      </c>
      <c r="I572" s="2"/>
      <c r="J572" s="2">
        <v>1</v>
      </c>
    </row>
    <row r="573" spans="2:10">
      <c r="B573" s="2">
        <v>186</v>
      </c>
      <c r="C573" s="2" t="s">
        <v>47</v>
      </c>
      <c r="D573" s="2" t="s">
        <v>499</v>
      </c>
      <c r="E573" s="2" t="s">
        <v>99</v>
      </c>
      <c r="F573" s="2" t="s">
        <v>15</v>
      </c>
      <c r="G573" s="2" t="s">
        <v>104</v>
      </c>
      <c r="H573" s="2" t="s">
        <v>90</v>
      </c>
      <c r="I573" s="2"/>
      <c r="J573" s="2">
        <v>1</v>
      </c>
    </row>
    <row r="574" spans="2:10">
      <c r="B574" s="2">
        <v>186</v>
      </c>
      <c r="C574" s="2" t="s">
        <v>47</v>
      </c>
      <c r="D574" s="2" t="s">
        <v>499</v>
      </c>
      <c r="E574" s="2" t="s">
        <v>99</v>
      </c>
      <c r="F574" s="2" t="s">
        <v>72</v>
      </c>
      <c r="G574" s="2" t="s">
        <v>104</v>
      </c>
      <c r="H574" s="2" t="s">
        <v>90</v>
      </c>
      <c r="I574" s="2"/>
      <c r="J574" s="2">
        <v>2</v>
      </c>
    </row>
    <row r="575" spans="2:10">
      <c r="B575" s="2">
        <v>187</v>
      </c>
      <c r="C575" s="49" t="s">
        <v>47</v>
      </c>
      <c r="D575" s="2" t="s">
        <v>499</v>
      </c>
      <c r="E575" s="2" t="s">
        <v>99</v>
      </c>
      <c r="F575" s="2" t="s">
        <v>15</v>
      </c>
      <c r="G575" s="2" t="s">
        <v>104</v>
      </c>
      <c r="H575" s="2" t="s">
        <v>90</v>
      </c>
      <c r="I575" s="2"/>
      <c r="J575" s="2">
        <v>1</v>
      </c>
    </row>
    <row r="576" spans="2:10">
      <c r="B576" s="2">
        <v>187</v>
      </c>
      <c r="C576" s="49" t="s">
        <v>47</v>
      </c>
      <c r="D576" s="2" t="s">
        <v>499</v>
      </c>
      <c r="E576" s="2" t="s">
        <v>99</v>
      </c>
      <c r="F576" s="2" t="s">
        <v>72</v>
      </c>
      <c r="G576" s="2" t="s">
        <v>104</v>
      </c>
      <c r="H576" s="2" t="s">
        <v>90</v>
      </c>
      <c r="I576" s="2"/>
      <c r="J576" s="2">
        <v>2</v>
      </c>
    </row>
  </sheetData>
  <dataValidations count="4">
    <dataValidation allowBlank="1" showInputMessage="1" showErrorMessage="1" sqref="K212:K272 E212:E228 H159:I159 E243:E250 E254:E266 E271:E272 F161 E238:E241 F212:F272 H212:I272 M159:M272 F159 I195:I272 H205" xr:uid="{836921FA-4B34-4C7C-873C-C6D8CB6BEE71}"/>
    <dataValidation type="list" allowBlank="1" showInputMessage="1" showErrorMessage="1" sqref="M159:M272 K159:K160 E205:E211 F159:F160 F162:F211 I159:I211 H159:H204 H206:H211" xr:uid="{31B845FB-A038-45B6-ACA9-63BF61516A6C}">
      <formula1>"ALTA_CALIDAD, CALIDAD_INTERMEDIA"</formula1>
    </dataValidation>
    <dataValidation type="list" allowBlank="1" showInputMessage="1" showErrorMessage="1" sqref="M159:M272 K159:K211 E205:E211 F159:F160 F162:F211 I159:I211 H159:H204 H206:H211" xr:uid="{ECE9062F-38F9-45D7-BD0A-4FAA3ABA95B7}">
      <formula1>#REF!</formula1>
    </dataValidation>
    <dataValidation type="list" allowBlank="1" showInputMessage="1" showErrorMessage="1" sqref="M159:M272 I159:I211 H159:H204 H206:H211" xr:uid="{CA688815-4486-4C63-9168-D6B53BAC0C09}">
      <formula1>"NIÑO, DAMA, RECTO"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Conocimiento Adictivo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Miguel Angel Chahua Villanueva</cp:lastModifiedBy>
  <cp:revision/>
  <dcterms:created xsi:type="dcterms:W3CDTF">2025-12-21T21:45:47Z</dcterms:created>
  <dcterms:modified xsi:type="dcterms:W3CDTF">2026-04-07T04:38:44Z</dcterms:modified>
  <cp:category/>
  <cp:contentStatus/>
</cp:coreProperties>
</file>