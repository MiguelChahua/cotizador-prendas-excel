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DATA SCIENCE\POWER BI\Visual Pedidos\"/>
    </mc:Choice>
  </mc:AlternateContent>
  <xr:revisionPtr revIDLastSave="0" documentId="13_ncr:1_{5DBF47B1-B608-45A6-8246-9E9D22F5CD59}" xr6:coauthVersionLast="36" xr6:coauthVersionMax="47" xr10:uidLastSave="{00000000-0000-0000-0000-000000000000}"/>
  <bookViews>
    <workbookView xWindow="0" yWindow="0" windowWidth="11700" windowHeight="7740" firstSheet="7" activeTab="17" xr2:uid="{00FA2F93-6D2E-4B78-BC1D-FE2A343F1E23}"/>
  </bookViews>
  <sheets>
    <sheet name="Rango" sheetId="8" r:id="rId1"/>
    <sheet name="Talla-Prenda" sheetId="19" r:id="rId2"/>
    <sheet name="Tela-Color" sheetId="11" r:id="rId3"/>
    <sheet name="Estilo-Talla" sheetId="12" r:id="rId4"/>
    <sheet name="Tela-Prenda" sheetId="13" r:id="rId5"/>
    <sheet name="Precios-Polos" sheetId="9" r:id="rId6"/>
    <sheet name="Precio-Poleras" sheetId="14" r:id="rId7"/>
    <sheet name="Precio-Boxers" sheetId="16" r:id="rId8"/>
    <sheet name="Precio-Bodys" sheetId="15" r:id="rId9"/>
    <sheet name="Prenda" sheetId="1" r:id="rId10"/>
    <sheet name="Contexto" sheetId="2" r:id="rId11"/>
    <sheet name="Color" sheetId="5" r:id="rId12"/>
    <sheet name="Talla" sheetId="4" r:id="rId13"/>
    <sheet name="Tela" sheetId="3" r:id="rId14"/>
    <sheet name="Estilo" sheetId="6" r:id="rId15"/>
    <sheet name="Marca" sheetId="7" r:id="rId16"/>
    <sheet name="Aux" sheetId="17" r:id="rId17"/>
    <sheet name="Cotizador" sheetId="18" r:id="rId18"/>
  </sheets>
  <definedNames>
    <definedName name="Lista_Colores1">_xlfn.ANCHORARRAY(Aux!$D$4)</definedName>
    <definedName name="Lista_Colores10">_xlfn.ANCHORARRAY(Aux!$D$125)</definedName>
    <definedName name="Lista_Colores11">_xlfn.ANCHORARRAY(Aux!$D$138)</definedName>
    <definedName name="Lista_Colores12">_xlfn.ANCHORARRAY(Aux!$D$151)</definedName>
    <definedName name="Lista_Colores13">_xlfn.ANCHORARRAY(Aux!$D$164)</definedName>
    <definedName name="Lista_Colores14">_xlfn.ANCHORARRAY(Aux!$D$177)</definedName>
    <definedName name="Lista_Colores15">_xlfn.ANCHORARRAY(Aux!$D$190)</definedName>
    <definedName name="Lista_Colores16">_xlfn.ANCHORARRAY(Aux!$D$203)</definedName>
    <definedName name="Lista_Colores17">_xlfn.ANCHORARRAY(Aux!$D$216)</definedName>
    <definedName name="Lista_Colores18">_xlfn.ANCHORARRAY(Aux!$D$229)</definedName>
    <definedName name="Lista_Colores19">_xlfn.ANCHORARRAY(Aux!$D$242)</definedName>
    <definedName name="Lista_Colores2">_xlfn.ANCHORARRAY(Aux!$D$17)</definedName>
    <definedName name="Lista_Colores20">_xlfn.ANCHORARRAY(Aux!$D$255)</definedName>
    <definedName name="Lista_Colores3">_xlfn.ANCHORARRAY(Aux!$D$31)</definedName>
    <definedName name="Lista_Colores4">_xlfn.ANCHORARRAY(Aux!$D$45)</definedName>
    <definedName name="Lista_Colores5">_xlfn.ANCHORARRAY(Aux!$D$59)</definedName>
    <definedName name="Lista_Colores6">_xlfn.ANCHORARRAY(Aux!$D$72)</definedName>
    <definedName name="Lista_Colores7">_xlfn.ANCHORARRAY(Aux!$D$85)</definedName>
    <definedName name="Lista_Colores8">_xlfn.ANCHORARRAY(Aux!$D$98)</definedName>
    <definedName name="Lista_Colores9">_xlfn.ANCHORARRAY(Aux!$D$112)</definedName>
    <definedName name="Lista_Estilos1">_xlfn.ANCHORARRAY(Aux!$H$4)</definedName>
    <definedName name="Lista_Estilos10">_xlfn.ANCHORARRAY(Aux!$H$40)</definedName>
    <definedName name="Lista_Estilos11">_xlfn.ANCHORARRAY(Aux!$H$44)</definedName>
    <definedName name="Lista_Estilos12">_xlfn.ANCHORARRAY(Aux!$H$48)</definedName>
    <definedName name="Lista_Estilos13">_xlfn.ANCHORARRAY(Aux!$H$52)</definedName>
    <definedName name="Lista_Estilos14">_xlfn.ANCHORARRAY(Aux!$H$56)</definedName>
    <definedName name="Lista_Estilos15">_xlfn.ANCHORARRAY(Aux!$H$60)</definedName>
    <definedName name="Lista_Estilos16">_xlfn.ANCHORARRAY(Aux!$H$64)</definedName>
    <definedName name="Lista_Estilos17">_xlfn.ANCHORARRAY(Aux!$H$68)</definedName>
    <definedName name="Lista_Estilos18">_xlfn.ANCHORARRAY(Aux!$H$72)</definedName>
    <definedName name="Lista_Estilos19">_xlfn.ANCHORARRAY(Aux!$H$76)</definedName>
    <definedName name="Lista_Estilos2">_xlfn.ANCHORARRAY(Aux!$H$8)</definedName>
    <definedName name="Lista_Estilos20">_xlfn.ANCHORARRAY(Aux!$H$80)</definedName>
    <definedName name="Lista_Estilos3">_xlfn.ANCHORARRAY(Aux!$H$12)</definedName>
    <definedName name="Lista_Estilos4">_xlfn.ANCHORARRAY(Aux!$H$16)</definedName>
    <definedName name="Lista_Estilos5">_xlfn.ANCHORARRAY(Aux!$H$20)</definedName>
    <definedName name="Lista_Estilos6">_xlfn.ANCHORARRAY(Aux!$H$24)</definedName>
    <definedName name="Lista_Estilos7">_xlfn.ANCHORARRAY(Aux!$H$28)</definedName>
    <definedName name="Lista_Estilos8">_xlfn.ANCHORARRAY(Aux!$H$32)</definedName>
    <definedName name="Lista_Estilos9">_xlfn.ANCHORARRAY(Aux!$H$36)</definedName>
    <definedName name="Lista_Marca1">_xlfn.ANCHORARRAY(Aux!$F$4)</definedName>
    <definedName name="Lista_Marca10">_xlfn.ANCHORARRAY(Aux!$F$31)</definedName>
    <definedName name="Lista_Marca11">_xlfn.ANCHORARRAY(Aux!$F$34)</definedName>
    <definedName name="Lista_Marca12">_xlfn.ANCHORARRAY(Aux!$F$37)</definedName>
    <definedName name="Lista_Marca13">_xlfn.ANCHORARRAY(Aux!$F$40)</definedName>
    <definedName name="Lista_Marca14">_xlfn.ANCHORARRAY(Aux!$F$43)</definedName>
    <definedName name="Lista_Marca15">_xlfn.ANCHORARRAY(Aux!$F$46)</definedName>
    <definedName name="Lista_Marca16">_xlfn.ANCHORARRAY(Aux!$F$49)</definedName>
    <definedName name="Lista_Marca17">_xlfn.ANCHORARRAY(Aux!$F$52)</definedName>
    <definedName name="Lista_Marca18">_xlfn.ANCHORARRAY(Aux!$F$55)</definedName>
    <definedName name="Lista_Marca19">_xlfn.ANCHORARRAY(Aux!$F$58)</definedName>
    <definedName name="Lista_Marca2">_xlfn.ANCHORARRAY(Aux!$F$7)</definedName>
    <definedName name="Lista_Marca20">_xlfn.ANCHORARRAY(Aux!$F$61)</definedName>
    <definedName name="Lista_Marca3">_xlfn.ANCHORARRAY(Aux!$F$10)</definedName>
    <definedName name="Lista_Marca4">_xlfn.ANCHORARRAY(Aux!$F$13)</definedName>
    <definedName name="Lista_Marca5">_xlfn.ANCHORARRAY(Aux!$F$16)</definedName>
    <definedName name="Lista_Marca6">_xlfn.ANCHORARRAY(Aux!$F$19)</definedName>
    <definedName name="Lista_Marca7">_xlfn.ANCHORARRAY(Aux!$F$22)</definedName>
    <definedName name="Lista_Marca8">_xlfn.ANCHORARRAY(Aux!$F$25)</definedName>
    <definedName name="Lista_Marca9">_xlfn.ANCHORARRAY(Aux!$F$28)</definedName>
    <definedName name="Lista_Tallas1">_xlfn.ANCHORARRAY(Aux!$J$4)</definedName>
    <definedName name="Lista_Tallas10">_xlfn.ANCHORARRAY(Aux!$J$125)</definedName>
    <definedName name="Lista_Tallas11">_xlfn.ANCHORARRAY(Aux!$J$138)</definedName>
    <definedName name="Lista_Tallas12">_xlfn.ANCHORARRAY(Aux!$J$151)</definedName>
    <definedName name="Lista_Tallas13">_xlfn.ANCHORARRAY(Aux!$J$164)</definedName>
    <definedName name="Lista_Tallas14">_xlfn.ANCHORARRAY(Aux!$J$177)</definedName>
    <definedName name="Lista_Tallas15">_xlfn.ANCHORARRAY(Aux!$J$190)</definedName>
    <definedName name="Lista_Tallas16">_xlfn.ANCHORARRAY(Aux!$J$203)</definedName>
    <definedName name="Lista_Tallas17">_xlfn.ANCHORARRAY(Aux!$J$216)</definedName>
    <definedName name="Lista_Tallas18">_xlfn.ANCHORARRAY(Aux!$J$229)</definedName>
    <definedName name="Lista_Tallas19">_xlfn.ANCHORARRAY(Aux!$J$242)</definedName>
    <definedName name="Lista_Tallas2">_xlfn.ANCHORARRAY(Aux!$J$17)</definedName>
    <definedName name="Lista_Tallas20">_xlfn.ANCHORARRAY(Aux!$J$255)</definedName>
    <definedName name="Lista_Tallas3">_xlfn.ANCHORARRAY(Aux!$J$30)</definedName>
    <definedName name="Lista_Tallas4">_xlfn.ANCHORARRAY(Aux!$J$43)</definedName>
    <definedName name="Lista_Tallas5">_xlfn.ANCHORARRAY(Aux!$J$56)</definedName>
    <definedName name="Lista_Tallas6">_xlfn.ANCHORARRAY(Aux!$J$69)</definedName>
    <definedName name="Lista_Tallas7">_xlfn.ANCHORARRAY(Aux!$J$85)</definedName>
    <definedName name="Lista_Tallas8">_xlfn.ANCHORARRAY(Aux!$J$98)</definedName>
    <definedName name="Lista_Tallas9">_xlfn.ANCHORARRAY(Aux!$J$111)</definedName>
    <definedName name="Lista_Telas1">_xlfn.ANCHORARRAY(Aux!$B$4)</definedName>
    <definedName name="Lista_Telas10">_xlfn.ANCHORARRAY(Aux!$B$31)</definedName>
    <definedName name="Lista_Telas11">_xlfn.ANCHORARRAY(Aux!$B$34)</definedName>
    <definedName name="Lista_Telas12">_xlfn.ANCHORARRAY(Aux!$B$37)</definedName>
    <definedName name="Lista_Telas13">_xlfn.ANCHORARRAY(Aux!$B$40)</definedName>
    <definedName name="Lista_Telas14">_xlfn.ANCHORARRAY(Aux!$B$43)</definedName>
    <definedName name="Lista_Telas15">_xlfn.ANCHORARRAY(Aux!$B$46)</definedName>
    <definedName name="Lista_Telas16">_xlfn.ANCHORARRAY(Aux!$B$49)</definedName>
    <definedName name="Lista_Telas17">_xlfn.ANCHORARRAY(Aux!$B$52)</definedName>
    <definedName name="Lista_Telas18">_xlfn.ANCHORARRAY(Aux!$B$55)</definedName>
    <definedName name="Lista_Telas19">_xlfn.ANCHORARRAY(Aux!$B$58)</definedName>
    <definedName name="Lista_Telas2">_xlfn.ANCHORARRAY(Aux!$B$7)</definedName>
    <definedName name="Lista_Telas20">_xlfn.ANCHORARRAY(Aux!$B$61)</definedName>
    <definedName name="Lista_Telas3">_xlfn.ANCHORARRAY(Aux!$B$10)</definedName>
    <definedName name="Lista_Telas4">_xlfn.ANCHORARRAY(Aux!$B$13)</definedName>
    <definedName name="Lista_Telas5">_xlfn.ANCHORARRAY(Aux!$B$16)</definedName>
    <definedName name="Lista_Telas6">_xlfn.ANCHORARRAY(Aux!$B$19)</definedName>
    <definedName name="Lista_Telas7">_xlfn.ANCHORARRAY(Aux!$B$22)</definedName>
    <definedName name="Lista_Telas8">_xlfn.ANCHORARRAY(Aux!$B$25)</definedName>
    <definedName name="Lista_Telas9">_xlfn.ANCHORARRAY(Aux!$B$28)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" i="18" l="1"/>
  <c r="Y8" i="18"/>
  <c r="V9" i="18"/>
  <c r="Y9" i="18"/>
  <c r="L8" i="18"/>
  <c r="M8" i="18"/>
  <c r="N8" i="18"/>
  <c r="O8" i="18"/>
  <c r="P8" i="18"/>
  <c r="Q8" i="18"/>
  <c r="R8" i="18"/>
  <c r="S8" i="18"/>
  <c r="W8" i="18" s="1" a="1"/>
  <c r="W8" i="18" s="1"/>
  <c r="Z8" i="18" s="1"/>
  <c r="L9" i="18"/>
  <c r="M9" i="18"/>
  <c r="N9" i="18"/>
  <c r="O9" i="18"/>
  <c r="P9" i="18"/>
  <c r="Q9" i="18"/>
  <c r="R9" i="18"/>
  <c r="S9" i="18"/>
  <c r="W9" i="18" s="1" a="1"/>
  <c r="W9" i="18" s="1"/>
  <c r="Z9" i="18" s="1"/>
  <c r="L10" i="18"/>
  <c r="M10" i="18"/>
  <c r="N10" i="18"/>
  <c r="O10" i="18"/>
  <c r="P10" i="18"/>
  <c r="Q10" i="18"/>
  <c r="R10" i="18"/>
  <c r="S10" i="18"/>
  <c r="L11" i="18"/>
  <c r="M11" i="18"/>
  <c r="N11" i="18"/>
  <c r="O11" i="18"/>
  <c r="P11" i="18"/>
  <c r="Q11" i="18"/>
  <c r="R11" i="18"/>
  <c r="S11" i="18"/>
  <c r="L12" i="18"/>
  <c r="M12" i="18"/>
  <c r="N12" i="18"/>
  <c r="O12" i="18"/>
  <c r="P12" i="18"/>
  <c r="Q12" i="18"/>
  <c r="R12" i="18"/>
  <c r="S12" i="18"/>
  <c r="L13" i="18"/>
  <c r="M13" i="18"/>
  <c r="N13" i="18"/>
  <c r="O13" i="18"/>
  <c r="P13" i="18"/>
  <c r="Q13" i="18"/>
  <c r="R13" i="18"/>
  <c r="S13" i="18"/>
  <c r="L14" i="18"/>
  <c r="M14" i="18"/>
  <c r="N14" i="18"/>
  <c r="O14" i="18"/>
  <c r="P14" i="18"/>
  <c r="Q14" i="18"/>
  <c r="R14" i="18"/>
  <c r="S14" i="18"/>
  <c r="L15" i="18"/>
  <c r="M15" i="18"/>
  <c r="N15" i="18"/>
  <c r="O15" i="18"/>
  <c r="P15" i="18"/>
  <c r="Q15" i="18"/>
  <c r="R15" i="18"/>
  <c r="S15" i="18"/>
  <c r="L16" i="18"/>
  <c r="M16" i="18"/>
  <c r="N16" i="18"/>
  <c r="O16" i="18"/>
  <c r="P16" i="18"/>
  <c r="Q16" i="18"/>
  <c r="R16" i="18"/>
  <c r="S16" i="18"/>
  <c r="L17" i="18"/>
  <c r="M17" i="18"/>
  <c r="N17" i="18"/>
  <c r="O17" i="18"/>
  <c r="P17" i="18"/>
  <c r="Q17" i="18"/>
  <c r="R17" i="18"/>
  <c r="S17" i="18"/>
  <c r="L18" i="18"/>
  <c r="M18" i="18"/>
  <c r="N18" i="18"/>
  <c r="O18" i="18"/>
  <c r="P18" i="18"/>
  <c r="Q18" i="18"/>
  <c r="R18" i="18"/>
  <c r="S18" i="18"/>
  <c r="L19" i="18"/>
  <c r="M19" i="18"/>
  <c r="N19" i="18"/>
  <c r="O19" i="18"/>
  <c r="P19" i="18"/>
  <c r="Q19" i="18"/>
  <c r="R19" i="18"/>
  <c r="S19" i="18"/>
  <c r="L20" i="18"/>
  <c r="M20" i="18"/>
  <c r="N20" i="18"/>
  <c r="O20" i="18"/>
  <c r="P20" i="18"/>
  <c r="Q20" i="18"/>
  <c r="R20" i="18"/>
  <c r="S20" i="18"/>
  <c r="L21" i="18"/>
  <c r="M21" i="18"/>
  <c r="N21" i="18"/>
  <c r="O21" i="18"/>
  <c r="P21" i="18"/>
  <c r="Q21" i="18"/>
  <c r="R21" i="18"/>
  <c r="S21" i="18"/>
  <c r="L22" i="18"/>
  <c r="M22" i="18"/>
  <c r="N22" i="18"/>
  <c r="O22" i="18"/>
  <c r="P22" i="18"/>
  <c r="Q22" i="18"/>
  <c r="R22" i="18"/>
  <c r="S22" i="18"/>
  <c r="L23" i="18"/>
  <c r="M23" i="18"/>
  <c r="N23" i="18"/>
  <c r="O23" i="18"/>
  <c r="P23" i="18"/>
  <c r="Q23" i="18"/>
  <c r="R23" i="18"/>
  <c r="S23" i="18"/>
  <c r="L24" i="18"/>
  <c r="M24" i="18"/>
  <c r="N24" i="18"/>
  <c r="O24" i="18"/>
  <c r="P24" i="18"/>
  <c r="Q24" i="18"/>
  <c r="R24" i="18"/>
  <c r="S24" i="18"/>
  <c r="L25" i="18"/>
  <c r="M25" i="18"/>
  <c r="N25" i="18"/>
  <c r="O25" i="18"/>
  <c r="P25" i="18"/>
  <c r="Q25" i="18"/>
  <c r="R25" i="18"/>
  <c r="S25" i="18"/>
  <c r="L26" i="18"/>
  <c r="M26" i="18"/>
  <c r="N26" i="18"/>
  <c r="O26" i="18"/>
  <c r="P26" i="18"/>
  <c r="Q26" i="18"/>
  <c r="R26" i="18"/>
  <c r="S26" i="18"/>
  <c r="J98" i="17" a="1"/>
  <c r="J98" i="17"/>
  <c r="J111" i="17" a="1"/>
  <c r="J111" i="17"/>
  <c r="J125" i="17" a="1"/>
  <c r="J125" i="17"/>
  <c r="J138" i="17" a="1"/>
  <c r="J138" i="17"/>
  <c r="J151" i="17" a="1"/>
  <c r="J151" i="17"/>
  <c r="J164" i="17" a="1"/>
  <c r="J164" i="17"/>
  <c r="J177" i="17" a="1"/>
  <c r="J177" i="17"/>
  <c r="J190" i="17" a="1"/>
  <c r="J190" i="17"/>
  <c r="J203" i="17" a="1"/>
  <c r="J203" i="17"/>
  <c r="J216" i="17" a="1"/>
  <c r="J216" i="17"/>
  <c r="J229" i="17" a="1"/>
  <c r="J229" i="17"/>
  <c r="J242" i="17" a="1"/>
  <c r="J242" i="17"/>
  <c r="J255" i="17" a="1"/>
  <c r="J255" i="17"/>
  <c r="J56" i="17" a="1"/>
  <c r="J56" i="17"/>
  <c r="H32" i="17" a="1"/>
  <c r="H32" i="17"/>
  <c r="H36" i="17" a="1"/>
  <c r="H36" i="17"/>
  <c r="H40" i="17" a="1"/>
  <c r="H40" i="17"/>
  <c r="H44" i="17" a="1"/>
  <c r="H44" i="17"/>
  <c r="H48" i="17" a="1"/>
  <c r="H48" i="17"/>
  <c r="H52" i="17" a="1"/>
  <c r="H52" i="17"/>
  <c r="H56" i="17" a="1"/>
  <c r="H56" i="17"/>
  <c r="H60" i="17" a="1"/>
  <c r="H60" i="17"/>
  <c r="H64" i="17" a="1"/>
  <c r="H64" i="17"/>
  <c r="H68" i="17" a="1"/>
  <c r="H68" i="17"/>
  <c r="H72" i="17" a="1"/>
  <c r="H72" i="17"/>
  <c r="H76" i="17" a="1"/>
  <c r="H76" i="17"/>
  <c r="H80" i="17" a="1"/>
  <c r="H80" i="17"/>
  <c r="F37" i="17" a="1"/>
  <c r="F37" i="17"/>
  <c r="F40" i="17" a="1"/>
  <c r="F40" i="17"/>
  <c r="F43" i="17" a="1"/>
  <c r="F43" i="17"/>
  <c r="F46" i="17" a="1"/>
  <c r="F46" i="17"/>
  <c r="F49" i="17" a="1"/>
  <c r="F49" i="17"/>
  <c r="F52" i="17" a="1"/>
  <c r="F52" i="17"/>
  <c r="F55" i="17" a="1"/>
  <c r="F55" i="17"/>
  <c r="F58" i="17" a="1"/>
  <c r="F58" i="17"/>
  <c r="F61" i="17" a="1"/>
  <c r="F61" i="17"/>
  <c r="D98" i="17" a="1"/>
  <c r="D98" i="17"/>
  <c r="D112" i="17" a="1"/>
  <c r="D112" i="17"/>
  <c r="D125" i="17" a="1"/>
  <c r="D125" i="17"/>
  <c r="D138" i="17" a="1"/>
  <c r="D138" i="17"/>
  <c r="D151" i="17" a="1"/>
  <c r="D151" i="17"/>
  <c r="D164" i="17" a="1"/>
  <c r="D164" i="17"/>
  <c r="D177" i="17" a="1"/>
  <c r="D177" i="17"/>
  <c r="D190" i="17" a="1"/>
  <c r="D190" i="17"/>
  <c r="D203" i="17" a="1"/>
  <c r="D203" i="17"/>
  <c r="D216" i="17" a="1"/>
  <c r="D216" i="17"/>
  <c r="D229" i="17" a="1"/>
  <c r="D229" i="17"/>
  <c r="D242" i="17" a="1"/>
  <c r="D242" i="17"/>
  <c r="D255" i="17" a="1"/>
  <c r="D255" i="17"/>
  <c r="D59" i="17" a="1"/>
  <c r="D59" i="17"/>
  <c r="B40" i="17" a="1"/>
  <c r="B40" i="17"/>
  <c r="B43" i="17" a="1"/>
  <c r="B43" i="17"/>
  <c r="B46" i="17" a="1"/>
  <c r="B46" i="17"/>
  <c r="B49" i="17" a="1"/>
  <c r="B49" i="17"/>
  <c r="B52" i="17" a="1"/>
  <c r="B52" i="17"/>
  <c r="B55" i="17" a="1"/>
  <c r="B55" i="17"/>
  <c r="B58" i="17" a="1"/>
  <c r="B58" i="17"/>
  <c r="B61" i="17" a="1"/>
  <c r="B61" i="17"/>
  <c r="F28" i="17" a="1"/>
  <c r="F28" i="17" s="1"/>
  <c r="F31" i="17" a="1"/>
  <c r="F31" i="17" s="1"/>
  <c r="F34" i="17" a="1"/>
  <c r="F34" i="17" s="1"/>
  <c r="B37" i="17" a="1"/>
  <c r="B37" i="17"/>
  <c r="B34" i="17" a="1"/>
  <c r="B34" i="17"/>
  <c r="B31" i="17" a="1"/>
  <c r="B31" i="17"/>
  <c r="B28" i="17" a="1"/>
  <c r="B28" i="17"/>
  <c r="D72" i="17" a="1"/>
  <c r="D72" i="17" s="1"/>
  <c r="D85" i="17" a="1"/>
  <c r="D85" i="17" s="1"/>
  <c r="R7" i="18"/>
  <c r="S7" i="18" s="1"/>
  <c r="D17" i="17" a="1"/>
  <c r="D17" i="17" s="1"/>
  <c r="D31" i="17" a="1"/>
  <c r="D31" i="17" s="1"/>
  <c r="B13" i="17" a="1"/>
  <c r="B13" i="17" s="1"/>
  <c r="D45" i="17" a="1"/>
  <c r="D45" i="17" s="1"/>
  <c r="F16" i="17" a="1"/>
  <c r="F16" i="17" s="1"/>
  <c r="Y7" i="18"/>
  <c r="Q7" i="18"/>
  <c r="P7" i="18"/>
  <c r="O7" i="18"/>
  <c r="N7" i="18"/>
  <c r="D4" i="17" s="1" a="1"/>
  <c r="D4" i="17" s="1"/>
  <c r="M7" i="18"/>
  <c r="L7" i="18"/>
  <c r="J85" i="17" l="1" a="1"/>
  <c r="J85" i="17" s="1"/>
  <c r="J69" i="17" a="1"/>
  <c r="J69" i="17" s="1"/>
  <c r="H24" i="17" a="1"/>
  <c r="H24" i="17" s="1"/>
  <c r="F19" i="17" a="1"/>
  <c r="F19" i="17" s="1"/>
  <c r="B19" i="17" a="1"/>
  <c r="B19" i="17" s="1"/>
  <c r="B25" i="17" a="1"/>
  <c r="B25" i="17" s="1"/>
  <c r="F25" i="17" a="1"/>
  <c r="F25" i="17" s="1"/>
  <c r="B22" i="17" a="1"/>
  <c r="B22" i="17" s="1"/>
  <c r="H28" i="17" a="1"/>
  <c r="H28" i="17" s="1"/>
  <c r="F22" i="17" a="1"/>
  <c r="F22" i="17" s="1"/>
  <c r="J4" i="17" a="1"/>
  <c r="J4" i="17" s="1"/>
  <c r="B4" i="17" a="1"/>
  <c r="B4" i="17" s="1"/>
  <c r="J17" i="17" a="1"/>
  <c r="J17" i="17" s="1"/>
  <c r="F4" i="17" a="1"/>
  <c r="F4" i="17" s="1"/>
  <c r="W7" i="18" a="1"/>
  <c r="W7" i="18" s="1"/>
  <c r="Z7" i="18" s="1"/>
  <c r="B7" i="17" a="1"/>
  <c r="B7" i="17" s="1"/>
  <c r="F7" i="17" a="1"/>
  <c r="F7" i="17" s="1"/>
  <c r="H8" i="17" a="1"/>
  <c r="H8" i="17" s="1"/>
  <c r="F13" i="17" a="1"/>
  <c r="F13" i="17" s="1"/>
  <c r="J43" i="17" a="1"/>
  <c r="J43" i="17" s="1"/>
  <c r="H16" i="17" a="1"/>
  <c r="H16" i="17" s="1"/>
  <c r="B10" i="17" a="1"/>
  <c r="B10" i="17" s="1"/>
  <c r="F10" i="17" a="1"/>
  <c r="F10" i="17" s="1"/>
  <c r="J30" i="17" a="1"/>
  <c r="J30" i="17" s="1"/>
  <c r="H12" i="17" a="1"/>
  <c r="H12" i="17" s="1"/>
  <c r="B16" i="17" a="1"/>
  <c r="B16" i="17" s="1"/>
  <c r="H20" i="17" a="1"/>
  <c r="H20" i="17" s="1"/>
  <c r="V7" i="18"/>
  <c r="H4" i="17" a="1"/>
  <c r="H4" i="17" s="1"/>
  <c r="Z27" i="18"/>
  <c r="D42" i="17"/>
  <c r="D41" i="17"/>
  <c r="D40" i="17"/>
  <c r="D39" i="17"/>
  <c r="D38" i="17"/>
  <c r="D37" i="17"/>
  <c r="D36" i="17"/>
  <c r="D35" i="17"/>
  <c r="D34" i="17"/>
  <c r="D33" i="17"/>
  <c r="D32" i="17"/>
  <c r="J35" i="17"/>
  <c r="J34" i="17"/>
  <c r="J33" i="17"/>
  <c r="J32" i="17"/>
  <c r="J31" i="17"/>
  <c r="J22" i="17"/>
  <c r="J21" i="17"/>
  <c r="J20" i="17"/>
  <c r="J19" i="17"/>
  <c r="J18" i="17"/>
  <c r="D28" i="17"/>
  <c r="D27" i="17"/>
  <c r="D26" i="17"/>
  <c r="D25" i="17"/>
  <c r="D24" i="17"/>
  <c r="D23" i="17"/>
  <c r="D22" i="17"/>
  <c r="D21" i="17"/>
  <c r="D20" i="17"/>
  <c r="D19" i="17"/>
  <c r="D18" i="17"/>
  <c r="H14" i="17"/>
  <c r="H13" i="17"/>
  <c r="B11" i="17"/>
  <c r="H10" i="17"/>
  <c r="H9" i="17"/>
  <c r="B8" i="17"/>
  <c r="J9" i="17"/>
  <c r="J8" i="17"/>
  <c r="J7" i="17"/>
  <c r="J6" i="17"/>
  <c r="J5" i="17"/>
  <c r="H6" i="17"/>
  <c r="H5" i="17"/>
  <c r="D9" i="17"/>
  <c r="D8" i="17"/>
  <c r="D7" i="17"/>
  <c r="D6" i="17"/>
  <c r="D5" i="17"/>
  <c r="B5" i="1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<sst xmlns="http://schemas.openxmlformats.org/spreadsheetml/2006/main" count="193" uniqueCount="119">
  <si>
    <t>Prenda</t>
  </si>
  <si>
    <t>Polo</t>
  </si>
  <si>
    <t>Contexto</t>
  </si>
  <si>
    <t>Navidad y Año Nuevo</t>
  </si>
  <si>
    <t>Tela</t>
  </si>
  <si>
    <t>Alta calidad</t>
  </si>
  <si>
    <t>id_tela_prenda</t>
  </si>
  <si>
    <t>Color</t>
  </si>
  <si>
    <t>Blanco</t>
  </si>
  <si>
    <t>Estilo</t>
  </si>
  <si>
    <t>No necesario</t>
  </si>
  <si>
    <t>id_estilo_talla</t>
  </si>
  <si>
    <t>Talla</t>
  </si>
  <si>
    <t>4 - 7 m</t>
  </si>
  <si>
    <t>Marca</t>
  </si>
  <si>
    <t>Cantidad</t>
  </si>
  <si>
    <t>Precio Unitario</t>
  </si>
  <si>
    <t>Total</t>
  </si>
  <si>
    <t>id_rango</t>
  </si>
  <si>
    <t>descripcion</t>
  </si>
  <si>
    <t>min</t>
  </si>
  <si>
    <t>max</t>
  </si>
  <si>
    <t>Unidad</t>
  </si>
  <si>
    <t>Media docena</t>
  </si>
  <si>
    <t>Docena o más</t>
  </si>
  <si>
    <t>id_talla_prenda</t>
  </si>
  <si>
    <t>id_talla</t>
  </si>
  <si>
    <t>id_prenda</t>
  </si>
  <si>
    <t>id_tela_color</t>
  </si>
  <si>
    <t>id_tela</t>
  </si>
  <si>
    <t>id_color</t>
  </si>
  <si>
    <t>id_estilo</t>
  </si>
  <si>
    <t>id_precio_polo</t>
  </si>
  <si>
    <t>id_contexto_precio</t>
  </si>
  <si>
    <t>precio</t>
  </si>
  <si>
    <t>id_precio_polera</t>
  </si>
  <si>
    <t>id_precio_boxer</t>
  </si>
  <si>
    <t>id_marca</t>
  </si>
  <si>
    <t>id_precio_body</t>
  </si>
  <si>
    <t>prenda</t>
  </si>
  <si>
    <t>Polera</t>
  </si>
  <si>
    <t>Body</t>
  </si>
  <si>
    <t>Boxer</t>
  </si>
  <si>
    <t>nombre_contexto</t>
  </si>
  <si>
    <t>tipo_contexto</t>
  </si>
  <si>
    <t>estado</t>
  </si>
  <si>
    <t>Precio General</t>
  </si>
  <si>
    <t>Base</t>
  </si>
  <si>
    <t>Activo</t>
  </si>
  <si>
    <t>Campaña</t>
  </si>
  <si>
    <t>Graduación</t>
  </si>
  <si>
    <t>Verano</t>
  </si>
  <si>
    <t>Planificado</t>
  </si>
  <si>
    <t>San Valentín</t>
  </si>
  <si>
    <t>Día de la Madre</t>
  </si>
  <si>
    <t>Histórico</t>
  </si>
  <si>
    <t>Día de la Educación Inicial</t>
  </si>
  <si>
    <t>Día del Padre</t>
  </si>
  <si>
    <t>color</t>
  </si>
  <si>
    <t>Amarillo</t>
  </si>
  <si>
    <t>Anaranjado</t>
  </si>
  <si>
    <t>Azul</t>
  </si>
  <si>
    <t>Celeste Bebé</t>
  </si>
  <si>
    <t>Fucsia</t>
  </si>
  <si>
    <t>Lila</t>
  </si>
  <si>
    <t>Negro</t>
  </si>
  <si>
    <t>Rojo</t>
  </si>
  <si>
    <t>Rosado</t>
  </si>
  <si>
    <t>Turqueza</t>
  </si>
  <si>
    <t>Verde</t>
  </si>
  <si>
    <t>Melange</t>
  </si>
  <si>
    <t>talla</t>
  </si>
  <si>
    <t>tipo</t>
  </si>
  <si>
    <t>T2</t>
  </si>
  <si>
    <t>Niño</t>
  </si>
  <si>
    <t>T4</t>
  </si>
  <si>
    <t>T6</t>
  </si>
  <si>
    <t>T8</t>
  </si>
  <si>
    <t>T10</t>
  </si>
  <si>
    <t>T12</t>
  </si>
  <si>
    <t>T14</t>
  </si>
  <si>
    <t>Adulto</t>
  </si>
  <si>
    <t>S</t>
  </si>
  <si>
    <t>M</t>
  </si>
  <si>
    <t>L</t>
  </si>
  <si>
    <t>XL</t>
  </si>
  <si>
    <t>XXL</t>
  </si>
  <si>
    <t>0 - 3 m</t>
  </si>
  <si>
    <t>Bebé</t>
  </si>
  <si>
    <t>8 - 11 m</t>
  </si>
  <si>
    <t>nombre_tela</t>
  </si>
  <si>
    <t>Calidad intermedia</t>
  </si>
  <si>
    <t>Franela</t>
  </si>
  <si>
    <t>Policoton</t>
  </si>
  <si>
    <t>nombre_estilo</t>
  </si>
  <si>
    <t>Recto</t>
  </si>
  <si>
    <t>Princesa</t>
  </si>
  <si>
    <t>Capucha + bolsillo</t>
  </si>
  <si>
    <t>Cuello redondo</t>
  </si>
  <si>
    <t>nombre_marca</t>
  </si>
  <si>
    <t>Boston</t>
  </si>
  <si>
    <t>Calvin Klein</t>
  </si>
  <si>
    <t>Lista_Telas#</t>
  </si>
  <si>
    <t>Lista_Colores#</t>
  </si>
  <si>
    <t>Lista_Marca#</t>
  </si>
  <si>
    <t>Lista_Estilos#</t>
  </si>
  <si>
    <t>Lista_Tallas#</t>
  </si>
  <si>
    <t>COTIZACIÓN</t>
  </si>
  <si>
    <t>Id_Prenda</t>
  </si>
  <si>
    <t>Id_Ctxto</t>
  </si>
  <si>
    <t>Id_Tela</t>
  </si>
  <si>
    <t>Id_Estilo</t>
  </si>
  <si>
    <t>Id_Talla</t>
  </si>
  <si>
    <t>Id_Marca</t>
  </si>
  <si>
    <t>T x Prendas</t>
  </si>
  <si>
    <t>Id_Rango</t>
  </si>
  <si>
    <t>Descripción de producto</t>
  </si>
  <si>
    <t>ADC. / DSCT.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</si>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</sst>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\ 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Tahoma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0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9" xfId="0" applyFill="1" applyBorder="1"/>
    <xf numFmtId="0" fontId="0" fillId="3" borderId="10" xfId="0" applyFill="1" applyBorder="1"/>
    <xf numFmtId="164" fontId="0" fillId="0" borderId="11" xfId="0" applyNumberFormat="1" applyBorder="1" applyAlignment="1">
      <alignment horizontal="center" vertical="center"/>
    </xf>
    <xf numFmtId="0" fontId="0" fillId="0" borderId="7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</cellXfs>
  <cellStyles count="2">
    <cellStyle name="Hyperlink" xfId="1" xr:uid="{00000000-000B-0000-0000-000008000000}"/>
    <cellStyle name="Normal" xfId="0" builtinId="0"/>
  </cellStyles>
  <dxfs count="8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31C238-BD63-4E77-9ABD-D1888D835D86}" name="tb_rango_cantidad" displayName="tb_rango_cantidad" ref="A1:D4" totalsRowShown="0" headerRowDxfId="88" dataDxfId="87">
  <autoFilter ref="A1:D4" xr:uid="{A22CFE0B-E25B-453F-8BE8-3AF69B1FDAE0}"/>
  <tableColumns count="4">
    <tableColumn id="1" xr3:uid="{FF4E3CBC-F360-4C7B-A8E1-80434F5E61AA}" name="id_rango" dataDxfId="86"/>
    <tableColumn id="2" xr3:uid="{4C9EE758-60B8-4050-96EA-C889EFF19359}" name="descripcion" dataDxfId="85"/>
    <tableColumn id="3" xr3:uid="{CFB3FA9E-2DC6-4D89-A6B4-91FC52997A72}" name="min" dataDxfId="84"/>
    <tableColumn id="4" xr3:uid="{98BBE6FA-C73F-4A81-8D67-16D85E4C563E}" name="max" dataDxfId="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145804D-34C0-4C9A-9369-7DB81A716BB0}" name="tb_talla_prenda" displayName="tb_talla_prenda" ref="A1:C32" totalsRowShown="0" headerRowDxfId="82" dataDxfId="81">
  <autoFilter ref="A1:C32" xr:uid="{8145804D-34C0-4C9A-9369-7DB81A716BB0}"/>
  <tableColumns count="3">
    <tableColumn id="1" xr3:uid="{376EA6BB-F3A4-4709-A67E-4794E88E5D1F}" name="id_talla_prenda" dataDxfId="80"/>
    <tableColumn id="2" xr3:uid="{B8FA3AA6-5AA7-4739-B5CF-EC73675EFC61}" name="id_talla" dataDxfId="79"/>
    <tableColumn id="3" xr3:uid="{7FCBC2E1-6E1C-4D3A-970B-EDBFADD1EA6E}" name="id_prenda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E578AD-420F-4318-8534-76061D748870}" name="tb_tela_color" displayName="tb_tela_color" ref="A1:C25" totalsRowShown="0" headerRowDxfId="77" dataDxfId="76">
  <autoFilter ref="A1:C25" xr:uid="{FF307AA6-607A-458D-A7A6-54FBB8F767B3}"/>
  <tableColumns count="3">
    <tableColumn id="1" xr3:uid="{4023BF9D-CBF0-4DDB-8BE7-FB4FF7C7FA13}" name="id_tela_color" dataDxfId="75"/>
    <tableColumn id="2" xr3:uid="{055B7AB4-1EBB-4332-9C8A-62E12521342B}" name="id_tela" dataDxfId="74"/>
    <tableColumn id="3" xr3:uid="{921B18B6-2163-4DFB-9E1F-AB1D7D3AEAAF}" name="id_color" dataDxfId="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98A513-7337-47DF-A6F9-E44B7C05B9B0}" name="tb_estilo_talla" displayName="tb_estilo_talla" ref="A1:D41" totalsRowShown="0" headerRowDxfId="72" dataDxfId="71">
  <autoFilter ref="A1:D41" xr:uid="{A96E1205-A763-4240-8A18-EA7D983DE364}"/>
  <tableColumns count="4">
    <tableColumn id="1" xr3:uid="{886A32AE-013D-4D51-8D68-C190AAA51611}" name="id_estilo_talla" dataDxfId="70"/>
    <tableColumn id="2" xr3:uid="{2165FE51-C57E-4859-ADCE-3346DA438F65}" name="id_estilo" dataDxfId="69"/>
    <tableColumn id="3" xr3:uid="{B82EB2F5-3BA3-4100-A266-9268B0FA8061}" name="id_talla" dataDxfId="68"/>
    <tableColumn id="4" xr3:uid="{B2DB0157-4545-4CF7-9DEE-5E029ADF8854}" name="id_prenda" dataDxfId="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E793B59-5A5A-4A14-A4CA-3E2E4164C1D0}" name="tb_tela_prenda" displayName="tb_tela_prenda" ref="A1:C6" totalsRowShown="0" headerRowDxfId="66" dataDxfId="65">
  <autoFilter ref="A1:C6" xr:uid="{C672D655-38F4-4D00-AE9A-E96C0ED68829}"/>
  <tableColumns count="3">
    <tableColumn id="1" xr3:uid="{659B51AD-8948-4506-96FF-3FE0ACDB598E}" name="id_tela_prenda" dataDxfId="64"/>
    <tableColumn id="2" xr3:uid="{93FFE1EC-E748-42AF-B367-78BDBE0B08CD}" name="id_tela" dataDxfId="63"/>
    <tableColumn id="3" xr3:uid="{E9121D3F-E77B-445F-B62E-73F42274C593}" name="id_prenda" dataDxfId="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51376B8-182B-410B-A913-0C4479865904}" name="tb_precio_polos" displayName="tb_precio_polos" ref="A1:F217" totalsRowShown="0" headerRowDxfId="61" dataDxfId="60">
  <autoFilter ref="A1:F217" xr:uid="{4F7646AE-8CE1-4BBB-8EF5-B34E41152A79}"/>
  <tableColumns count="6">
    <tableColumn id="1" xr3:uid="{DBCE05A5-B261-4214-BFD9-0F50374B82E4}" name="id_precio_polo" dataDxfId="59"/>
    <tableColumn id="2" xr3:uid="{A9F614DC-514F-49C3-913D-3A25B4E41923}" name="id_contexto_precio" dataDxfId="58"/>
    <tableColumn id="3" xr3:uid="{AAC01C6B-AB45-42F7-9FD8-201C0CD73BDB}" name="id_tela" dataDxfId="57"/>
    <tableColumn id="4" xr3:uid="{C0D97106-E280-4FBE-8995-8E3DB5C590D8}" name="id_talla" dataDxfId="56"/>
    <tableColumn id="5" xr3:uid="{96B376EF-EFE7-4DAF-B1C3-C42727CCE86F}" name="id_rango" dataDxfId="55"/>
    <tableColumn id="6" xr3:uid="{AD855014-096E-4CFF-B9CE-E5BD61302B03}" name="precio" dataDxfId="5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AAD247A-A215-4C1C-A227-CC4EBDF757FA}" name="tb_precio_poleras" displayName="tb_precio_poleras" ref="A1:G289" totalsRowShown="0" headerRowDxfId="53" dataDxfId="52">
  <autoFilter ref="A1:G289" xr:uid="{65A2B7E1-8079-406C-B70D-296C3A882E39}"/>
  <tableColumns count="7">
    <tableColumn id="1" xr3:uid="{CFBF6A55-3CC3-4A15-804C-0898F3E2E5B3}" name="id_precio_polera" dataDxfId="51"/>
    <tableColumn id="2" xr3:uid="{BA2080EC-FBE3-4E6E-838B-8A612FBC06B8}" name="id_contexto_precio" dataDxfId="50"/>
    <tableColumn id="3" xr3:uid="{078414FB-A57B-4591-A485-4D52BD0D7B5E}" name="id_tela" dataDxfId="49"/>
    <tableColumn id="7" xr3:uid="{36279D2C-40A1-412B-8C07-BF48A4C3A079}" name="id_estilo" dataDxfId="48"/>
    <tableColumn id="4" xr3:uid="{1F2A0EEE-31BD-47A1-8517-67577A5FC559}" name="id_talla" dataDxfId="47"/>
    <tableColumn id="5" xr3:uid="{7F248CD1-9E3F-4C3C-B5D8-18A3AFF3BB4C}" name="id_rango" dataDxfId="46"/>
    <tableColumn id="6" xr3:uid="{905F212C-38FF-42D7-8412-F4CFD019E89D}" name="precio" dataDxfId="4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019FAD6-9643-4689-ABC5-B2CD28498057}" name="tb_precio_boxer" displayName="tb_precio_boxer" ref="A1:E17" totalsRowShown="0" headerRowDxfId="44" dataDxfId="43">
  <autoFilter ref="A1:E17" xr:uid="{B7AF2D46-5D2F-4B5D-B168-432CF66D2D5D}"/>
  <tableColumns count="5">
    <tableColumn id="1" xr3:uid="{E7720DF3-F28C-46F7-8E59-3B6B8639B3CA}" name="id_precio_boxer" dataDxfId="42"/>
    <tableColumn id="2" xr3:uid="{40BA5F6C-E32B-4BC2-9904-53B357516689}" name="id_contexto_precio" dataDxfId="41"/>
    <tableColumn id="3" xr3:uid="{A6B8C1BB-E0F3-4867-8F1C-968B28E8BC8A}" name="id_marca" dataDxfId="40"/>
    <tableColumn id="4" xr3:uid="{8AAAB2CD-7B8D-4315-AB6D-C3B0ECDCED47}" name="id_talla" dataDxfId="39"/>
    <tableColumn id="5" xr3:uid="{8DE7A004-6AFE-4DE2-9FD9-A04C314B91F2}" name="precio" dataDxfId="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4972257-543B-4BA0-9648-F09D796DB148}" name="tb_precio_body" displayName="tb_precio_body" ref="A1:E19" totalsRowShown="0" dataDxfId="37">
  <autoFilter ref="A1:E19" xr:uid="{4220A74B-6A81-4444-A821-0534D6DE58F9}"/>
  <tableColumns count="5">
    <tableColumn id="1" xr3:uid="{299E8C65-9B7F-42D7-BF34-025191CBDCBE}" name="id_precio_body" dataDxfId="36"/>
    <tableColumn id="2" xr3:uid="{27F2114B-CDCE-4213-94C8-94072B55A48A}" name="id_contexto_precio" dataDxfId="35"/>
    <tableColumn id="3" xr3:uid="{4CED5719-9759-4330-A2B3-C51598359221}" name="id_talla" dataDxfId="34"/>
    <tableColumn id="4" xr3:uid="{56CAD185-113B-441D-8227-90038D0A7719}" name="id_rango" dataDxfId="33"/>
    <tableColumn id="5" xr3:uid="{89BFAF21-83B7-4F1C-B6A0-4584A6D0E942}" name="precio" dataDxfId="3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1C91E-1E07-4E32-9DED-028D4C73A102}" name="tb_prenda" displayName="tb_prenda" ref="A1:B5" totalsRowShown="0" headerRowDxfId="31" dataDxfId="30">
  <autoFilter ref="A1:B5" xr:uid="{35DDD417-D63C-478C-A46D-4B77AF09866E}"/>
  <tableColumns count="2">
    <tableColumn id="1" xr3:uid="{ABC63A16-7E8E-4187-866A-249452D9AC2A}" name="id_prenda" dataDxfId="29"/>
    <tableColumn id="2" xr3:uid="{467F947B-5E7A-4531-B830-03E193E0A2AA}" name="prenda" dataDxfId="2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B2A29-7F8B-4C82-8CFE-002D2EBC2F0B}" name="tb_contexto_precio" displayName="tb_contexto_precio" ref="A1:D9" totalsRowShown="0" headerRowDxfId="27" dataDxfId="26">
  <autoFilter ref="A1:D9" xr:uid="{0FBB7D8D-C383-4504-92C1-5EFBA3C62EA4}"/>
  <tableColumns count="4">
    <tableColumn id="1" xr3:uid="{6B0AF682-EFB5-4BEA-9DB5-069CD1AE6FAA}" name="id_contexto_precio" dataDxfId="25"/>
    <tableColumn id="2" xr3:uid="{ED8EC1B7-2684-48AA-83FD-24AA5009C78F}" name="nombre_contexto" dataDxfId="24"/>
    <tableColumn id="3" xr3:uid="{87F14F5C-E70B-4C8E-AABD-D3BCE534203A}" name="tipo_contexto" dataDxfId="23"/>
    <tableColumn id="4" xr3:uid="{D5EB329A-0300-45D7-BC38-A46AFA871D39}" name="estado" dataDxfId="2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82E977-D195-46A3-B1AC-B68698D877A4}" name="tb_color" displayName="tb_color" ref="A1:B14" totalsRowShown="0" headerRowDxfId="21" dataDxfId="20">
  <autoFilter ref="A1:B14" xr:uid="{39D1DE1B-EB95-4FB2-A3B8-73EC6F16F8F9}"/>
  <tableColumns count="2">
    <tableColumn id="1" xr3:uid="{75952CA8-F973-4B0F-92BA-1D76FB15415C}" name="id_color" dataDxfId="19"/>
    <tableColumn id="2" xr3:uid="{5ED990B6-DDC3-4AD1-B529-7DFB4A8160CE}" name="color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352889-11E2-4A79-BC5A-D5248B63E55A}" name="tb_talla" displayName="tb_talla" ref="A1:C16" totalsRowShown="0" headerRowDxfId="17">
  <autoFilter ref="A1:C16" xr:uid="{688BD4CF-824C-4B75-8D5F-30EDE40DB96D}"/>
  <tableColumns count="3">
    <tableColumn id="1" xr3:uid="{9707A671-F5E4-4E20-95D9-DF697105D234}" name="id_talla" dataDxfId="16"/>
    <tableColumn id="2" xr3:uid="{9C51B7FD-A8F2-4BDB-B240-7527ABBFE9E4}" name="talla" dataDxfId="15"/>
    <tableColumn id="3" xr3:uid="{A75E9884-A4D4-4F52-A942-FB17AD23F033}" name="tipo" dataDxfId="1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1DF266-D671-4CE9-A411-590EB535693D}" name="tb_tela" displayName="tb_tela" ref="A1:B5" totalsRowShown="0" headerRowDxfId="13" dataDxfId="12">
  <autoFilter ref="A1:B5" xr:uid="{7E84B26E-EF4F-49AD-B786-839276885CD2}"/>
  <tableColumns count="2">
    <tableColumn id="1" xr3:uid="{1CA204D9-2C4E-4A92-AD2D-31AB9CF1D08E}" name="id_tela" dataDxfId="11"/>
    <tableColumn id="2" xr3:uid="{62FD231D-96B1-4A05-A59A-CF9E83EBA327}" name="nombre_tela" dataDxfId="1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FED4CD-433C-4C2E-8CEC-3AC0F5DE4987}" name="tb_estilo" displayName="tb_estilo" ref="A1:C6" totalsRowShown="0" headerRowDxfId="9" dataDxfId="8">
  <autoFilter ref="A1:C6" xr:uid="{E175C27F-C470-473E-93B4-91A77979DA45}"/>
  <tableColumns count="3">
    <tableColumn id="1" xr3:uid="{1556A9BE-F8DB-4DC1-8A12-5AA9A1900A11}" name="id_estilo" dataDxfId="7"/>
    <tableColumn id="2" xr3:uid="{32EEBB10-57E5-4E6A-A9F1-D1412D687F69}" name="nombre_estilo" dataDxfId="6"/>
    <tableColumn id="3" xr3:uid="{62408421-03E6-44A8-8225-440A6098DE5E}" name="id_prenda" dataDxfId="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3B70A4-60BB-4427-BB4E-8C25EFE8F64B}" name="tb_marca" displayName="tb_marca" ref="A1:C3" totalsRowShown="0" headerRowDxfId="4" dataDxfId="3">
  <autoFilter ref="A1:C3" xr:uid="{DEB92831-0C88-4E0D-8882-4D11E84EA59B}"/>
  <tableColumns count="3">
    <tableColumn id="1" xr3:uid="{001F5E8E-BFBA-4A6D-8583-8143BCD6EDCE}" name="id_marca" dataDxfId="2"/>
    <tableColumn id="2" xr3:uid="{E3D5748B-57D3-47F1-81EF-58DAAB59EE89}" name="nombre_marca" dataDxfId="1"/>
    <tableColumn id="3" xr3:uid="{A71A36AD-74A7-47F0-BA1D-5B1D6B655824}" name="id_pren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2CB0-A4B1-4072-B8C0-0A0C0E0DD8DF}">
  <dimension ref="A1:D4"/>
  <sheetViews>
    <sheetView workbookViewId="0">
      <selection activeCell="C2" sqref="C2"/>
    </sheetView>
  </sheetViews>
  <sheetFormatPr baseColWidth="10" defaultColWidth="11.44140625" defaultRowHeight="14.4" x14ac:dyDescent="0.3"/>
  <cols>
    <col min="2" max="2" width="18.33203125" customWidth="1"/>
  </cols>
  <sheetData>
    <row r="1" spans="1:4" x14ac:dyDescent="0.3">
      <c r="A1" s="3" t="s">
        <v>18</v>
      </c>
      <c r="B1" s="3" t="s">
        <v>19</v>
      </c>
      <c r="C1" s="3" t="s">
        <v>20</v>
      </c>
      <c r="D1" s="3" t="s">
        <v>21</v>
      </c>
    </row>
    <row r="2" spans="1:4" x14ac:dyDescent="0.3">
      <c r="A2" s="3">
        <v>1</v>
      </c>
      <c r="B2" s="3" t="s">
        <v>22</v>
      </c>
      <c r="C2" s="3">
        <v>1</v>
      </c>
      <c r="D2" s="3">
        <v>5</v>
      </c>
    </row>
    <row r="3" spans="1:4" x14ac:dyDescent="0.3">
      <c r="A3" s="3">
        <v>2</v>
      </c>
      <c r="B3" s="3" t="s">
        <v>23</v>
      </c>
      <c r="C3" s="3">
        <v>6</v>
      </c>
      <c r="D3" s="3">
        <v>11</v>
      </c>
    </row>
    <row r="4" spans="1:4" x14ac:dyDescent="0.3">
      <c r="A4" s="3">
        <v>3</v>
      </c>
      <c r="B4" s="3" t="s">
        <v>24</v>
      </c>
      <c r="C4" s="3">
        <v>12</v>
      </c>
      <c r="D4" s="3">
        <v>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0E58-8D20-43E2-8ED4-9E2FF68EEEC5}">
  <dimension ref="A1:C32"/>
  <sheetViews>
    <sheetView workbookViewId="0">
      <selection activeCell="C29" sqref="C29:C32"/>
    </sheetView>
  </sheetViews>
  <sheetFormatPr baseColWidth="10" defaultColWidth="8.88671875" defaultRowHeight="14.4" x14ac:dyDescent="0.3"/>
  <cols>
    <col min="1" max="1" width="17.109375" bestFit="1" customWidth="1"/>
    <col min="2" max="2" width="9.88671875" bestFit="1" customWidth="1"/>
    <col min="3" max="3" width="12.33203125" bestFit="1" customWidth="1"/>
  </cols>
  <sheetData>
    <row r="1" spans="1:3" x14ac:dyDescent="0.3">
      <c r="A1" s="1" t="s">
        <v>25</v>
      </c>
      <c r="B1" s="1" t="s">
        <v>26</v>
      </c>
      <c r="C1" s="1" t="s">
        <v>27</v>
      </c>
    </row>
    <row r="2" spans="1:3" x14ac:dyDescent="0.3">
      <c r="A2" s="1">
        <v>1</v>
      </c>
      <c r="B2" s="1">
        <v>1</v>
      </c>
      <c r="C2" s="1">
        <v>1</v>
      </c>
    </row>
    <row r="3" spans="1:3" x14ac:dyDescent="0.3">
      <c r="A3" s="1">
        <v>2</v>
      </c>
      <c r="B3" s="1">
        <v>2</v>
      </c>
      <c r="C3" s="1">
        <v>1</v>
      </c>
    </row>
    <row r="4" spans="1:3" x14ac:dyDescent="0.3">
      <c r="A4" s="1">
        <v>3</v>
      </c>
      <c r="B4" s="1">
        <v>3</v>
      </c>
      <c r="C4" s="1">
        <v>1</v>
      </c>
    </row>
    <row r="5" spans="1:3" x14ac:dyDescent="0.3">
      <c r="A5" s="1">
        <v>4</v>
      </c>
      <c r="B5" s="1">
        <v>4</v>
      </c>
      <c r="C5" s="1">
        <v>1</v>
      </c>
    </row>
    <row r="6" spans="1:3" x14ac:dyDescent="0.3">
      <c r="A6" s="1">
        <v>5</v>
      </c>
      <c r="B6" s="1">
        <v>5</v>
      </c>
      <c r="C6" s="1">
        <v>1</v>
      </c>
    </row>
    <row r="7" spans="1:3" x14ac:dyDescent="0.3">
      <c r="A7" s="1">
        <v>6</v>
      </c>
      <c r="B7" s="1">
        <v>6</v>
      </c>
      <c r="C7" s="1">
        <v>1</v>
      </c>
    </row>
    <row r="8" spans="1:3" x14ac:dyDescent="0.3">
      <c r="A8" s="1">
        <v>7</v>
      </c>
      <c r="B8" s="1">
        <v>7</v>
      </c>
      <c r="C8" s="1">
        <v>1</v>
      </c>
    </row>
    <row r="9" spans="1:3" x14ac:dyDescent="0.3">
      <c r="A9" s="1">
        <v>8</v>
      </c>
      <c r="B9" s="1">
        <v>8</v>
      </c>
      <c r="C9" s="1">
        <v>1</v>
      </c>
    </row>
    <row r="10" spans="1:3" x14ac:dyDescent="0.3">
      <c r="A10" s="1">
        <v>9</v>
      </c>
      <c r="B10" s="1">
        <v>9</v>
      </c>
      <c r="C10" s="1">
        <v>1</v>
      </c>
    </row>
    <row r="11" spans="1:3" x14ac:dyDescent="0.3">
      <c r="A11" s="1">
        <v>10</v>
      </c>
      <c r="B11" s="1">
        <v>10</v>
      </c>
      <c r="C11" s="1">
        <v>1</v>
      </c>
    </row>
    <row r="12" spans="1:3" x14ac:dyDescent="0.3">
      <c r="A12" s="1">
        <v>11</v>
      </c>
      <c r="B12" s="1">
        <v>11</v>
      </c>
      <c r="C12" s="1">
        <v>1</v>
      </c>
    </row>
    <row r="13" spans="1:3" x14ac:dyDescent="0.3">
      <c r="A13" s="1">
        <v>12</v>
      </c>
      <c r="B13" s="1">
        <v>12</v>
      </c>
      <c r="C13" s="1">
        <v>1</v>
      </c>
    </row>
    <row r="14" spans="1:3" x14ac:dyDescent="0.3">
      <c r="A14" s="1">
        <v>13</v>
      </c>
      <c r="B14" s="1">
        <v>1</v>
      </c>
      <c r="C14" s="1">
        <v>2</v>
      </c>
    </row>
    <row r="15" spans="1:3" x14ac:dyDescent="0.3">
      <c r="A15" s="1">
        <v>14</v>
      </c>
      <c r="B15" s="1">
        <v>2</v>
      </c>
      <c r="C15" s="1">
        <v>2</v>
      </c>
    </row>
    <row r="16" spans="1:3" x14ac:dyDescent="0.3">
      <c r="A16" s="1">
        <v>15</v>
      </c>
      <c r="B16" s="1">
        <v>3</v>
      </c>
      <c r="C16" s="1">
        <v>2</v>
      </c>
    </row>
    <row r="17" spans="1:3" x14ac:dyDescent="0.3">
      <c r="A17" s="1">
        <v>16</v>
      </c>
      <c r="B17" s="1">
        <v>4</v>
      </c>
      <c r="C17" s="1">
        <v>2</v>
      </c>
    </row>
    <row r="18" spans="1:3" x14ac:dyDescent="0.3">
      <c r="A18" s="1">
        <v>17</v>
      </c>
      <c r="B18" s="1">
        <v>5</v>
      </c>
      <c r="C18" s="1">
        <v>2</v>
      </c>
    </row>
    <row r="19" spans="1:3" x14ac:dyDescent="0.3">
      <c r="A19" s="1">
        <v>18</v>
      </c>
      <c r="B19" s="1">
        <v>6</v>
      </c>
      <c r="C19" s="1">
        <v>2</v>
      </c>
    </row>
    <row r="20" spans="1:3" x14ac:dyDescent="0.3">
      <c r="A20" s="1">
        <v>19</v>
      </c>
      <c r="B20" s="1">
        <v>7</v>
      </c>
      <c r="C20" s="1">
        <v>2</v>
      </c>
    </row>
    <row r="21" spans="1:3" x14ac:dyDescent="0.3">
      <c r="A21" s="1">
        <v>20</v>
      </c>
      <c r="B21" s="1">
        <v>8</v>
      </c>
      <c r="C21" s="1">
        <v>2</v>
      </c>
    </row>
    <row r="22" spans="1:3" x14ac:dyDescent="0.3">
      <c r="A22" s="1">
        <v>21</v>
      </c>
      <c r="B22" s="1">
        <v>9</v>
      </c>
      <c r="C22" s="1">
        <v>2</v>
      </c>
    </row>
    <row r="23" spans="1:3" x14ac:dyDescent="0.3">
      <c r="A23" s="1">
        <v>22</v>
      </c>
      <c r="B23" s="1">
        <v>10</v>
      </c>
      <c r="C23" s="1">
        <v>2</v>
      </c>
    </row>
    <row r="24" spans="1:3" x14ac:dyDescent="0.3">
      <c r="A24" s="1">
        <v>23</v>
      </c>
      <c r="B24" s="1">
        <v>11</v>
      </c>
      <c r="C24" s="1">
        <v>2</v>
      </c>
    </row>
    <row r="25" spans="1:3" x14ac:dyDescent="0.3">
      <c r="A25" s="1">
        <v>24</v>
      </c>
      <c r="B25" s="1">
        <v>12</v>
      </c>
      <c r="C25" s="1">
        <v>2</v>
      </c>
    </row>
    <row r="26" spans="1:3" x14ac:dyDescent="0.3">
      <c r="A26" s="1">
        <v>25</v>
      </c>
      <c r="B26" s="1">
        <v>13</v>
      </c>
      <c r="C26" s="1">
        <v>3</v>
      </c>
    </row>
    <row r="27" spans="1:3" x14ac:dyDescent="0.3">
      <c r="A27" s="1">
        <v>26</v>
      </c>
      <c r="B27" s="1">
        <v>14</v>
      </c>
      <c r="C27" s="1">
        <v>3</v>
      </c>
    </row>
    <row r="28" spans="1:3" x14ac:dyDescent="0.3">
      <c r="A28" s="1">
        <v>27</v>
      </c>
      <c r="B28" s="1">
        <v>15</v>
      </c>
      <c r="C28" s="1">
        <v>3</v>
      </c>
    </row>
    <row r="29" spans="1:3" x14ac:dyDescent="0.3">
      <c r="A29" s="1">
        <v>28</v>
      </c>
      <c r="B29" s="1">
        <v>8</v>
      </c>
      <c r="C29" s="1">
        <v>4</v>
      </c>
    </row>
    <row r="30" spans="1:3" x14ac:dyDescent="0.3">
      <c r="A30" s="1">
        <v>29</v>
      </c>
      <c r="B30" s="1">
        <v>9</v>
      </c>
      <c r="C30" s="1">
        <v>4</v>
      </c>
    </row>
    <row r="31" spans="1:3" x14ac:dyDescent="0.3">
      <c r="A31" s="1">
        <v>30</v>
      </c>
      <c r="B31" s="1">
        <v>10</v>
      </c>
      <c r="C31" s="1">
        <v>4</v>
      </c>
    </row>
    <row r="32" spans="1:3" x14ac:dyDescent="0.3">
      <c r="A32" s="1">
        <v>31</v>
      </c>
      <c r="B32" s="1">
        <v>11</v>
      </c>
      <c r="C32" s="1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42E6-E9B8-43A3-B6D3-5BBDFE098F11}">
  <dimension ref="A1:C25"/>
  <sheetViews>
    <sheetView workbookViewId="0">
      <selection activeCell="C2" sqref="C2"/>
    </sheetView>
  </sheetViews>
  <sheetFormatPr baseColWidth="10" defaultColWidth="11.44140625" defaultRowHeight="14.4" x14ac:dyDescent="0.3"/>
  <cols>
    <col min="1" max="1" width="13.6640625" customWidth="1"/>
  </cols>
  <sheetData>
    <row r="1" spans="1:3" x14ac:dyDescent="0.3">
      <c r="A1" s="2" t="s">
        <v>28</v>
      </c>
      <c r="B1" s="2" t="s">
        <v>29</v>
      </c>
      <c r="C1" s="2" t="s">
        <v>30</v>
      </c>
    </row>
    <row r="2" spans="1:3" x14ac:dyDescent="0.3">
      <c r="A2" s="2">
        <v>1</v>
      </c>
      <c r="B2" s="2">
        <v>1</v>
      </c>
      <c r="C2" s="2">
        <v>1</v>
      </c>
    </row>
    <row r="3" spans="1:3" x14ac:dyDescent="0.3">
      <c r="A3" s="2">
        <v>2</v>
      </c>
      <c r="B3" s="2">
        <v>1</v>
      </c>
      <c r="C3" s="2">
        <v>2</v>
      </c>
    </row>
    <row r="4" spans="1:3" x14ac:dyDescent="0.3">
      <c r="A4" s="2">
        <v>3</v>
      </c>
      <c r="B4" s="2">
        <v>1</v>
      </c>
      <c r="C4" s="2">
        <v>3</v>
      </c>
    </row>
    <row r="5" spans="1:3" x14ac:dyDescent="0.3">
      <c r="A5" s="2">
        <v>4</v>
      </c>
      <c r="B5" s="2">
        <v>1</v>
      </c>
      <c r="C5" s="2">
        <v>4</v>
      </c>
    </row>
    <row r="6" spans="1:3" x14ac:dyDescent="0.3">
      <c r="A6" s="2">
        <v>5</v>
      </c>
      <c r="B6" s="2">
        <v>1</v>
      </c>
      <c r="C6" s="2">
        <v>5</v>
      </c>
    </row>
    <row r="7" spans="1:3" x14ac:dyDescent="0.3">
      <c r="A7" s="2">
        <v>6</v>
      </c>
      <c r="B7" s="2">
        <v>1</v>
      </c>
      <c r="C7" s="2">
        <v>6</v>
      </c>
    </row>
    <row r="8" spans="1:3" x14ac:dyDescent="0.3">
      <c r="A8" s="2">
        <v>7</v>
      </c>
      <c r="B8" s="2">
        <v>1</v>
      </c>
      <c r="C8" s="2">
        <v>7</v>
      </c>
    </row>
    <row r="9" spans="1:3" x14ac:dyDescent="0.3">
      <c r="A9" s="2">
        <v>8</v>
      </c>
      <c r="B9" s="2">
        <v>1</v>
      </c>
      <c r="C9" s="2">
        <v>8</v>
      </c>
    </row>
    <row r="10" spans="1:3" x14ac:dyDescent="0.3">
      <c r="A10" s="2">
        <v>9</v>
      </c>
      <c r="B10" s="2">
        <v>1</v>
      </c>
      <c r="C10" s="2">
        <v>9</v>
      </c>
    </row>
    <row r="11" spans="1:3" x14ac:dyDescent="0.3">
      <c r="A11" s="2">
        <v>10</v>
      </c>
      <c r="B11" s="2">
        <v>1</v>
      </c>
      <c r="C11" s="2">
        <v>10</v>
      </c>
    </row>
    <row r="12" spans="1:3" x14ac:dyDescent="0.3">
      <c r="A12" s="2">
        <v>11</v>
      </c>
      <c r="B12" s="2">
        <v>1</v>
      </c>
      <c r="C12" s="2">
        <v>11</v>
      </c>
    </row>
    <row r="13" spans="1:3" x14ac:dyDescent="0.3">
      <c r="A13" s="2">
        <v>12</v>
      </c>
      <c r="B13" s="2">
        <v>1</v>
      </c>
      <c r="C13" s="2">
        <v>12</v>
      </c>
    </row>
    <row r="14" spans="1:3" x14ac:dyDescent="0.3">
      <c r="A14" s="2">
        <v>13</v>
      </c>
      <c r="B14" s="2">
        <v>2</v>
      </c>
      <c r="C14" s="2">
        <v>1</v>
      </c>
    </row>
    <row r="15" spans="1:3" x14ac:dyDescent="0.3">
      <c r="A15" s="2">
        <v>14</v>
      </c>
      <c r="B15" s="2">
        <v>2</v>
      </c>
      <c r="C15" s="2">
        <v>4</v>
      </c>
    </row>
    <row r="16" spans="1:3" x14ac:dyDescent="0.3">
      <c r="A16" s="2">
        <v>15</v>
      </c>
      <c r="B16" s="2">
        <v>2</v>
      </c>
      <c r="C16" s="2">
        <v>8</v>
      </c>
    </row>
    <row r="17" spans="1:3" x14ac:dyDescent="0.3">
      <c r="A17" s="2">
        <v>16</v>
      </c>
      <c r="B17" s="2">
        <v>2</v>
      </c>
      <c r="C17" s="2">
        <v>9</v>
      </c>
    </row>
    <row r="18" spans="1:3" x14ac:dyDescent="0.3">
      <c r="A18" s="2">
        <v>17</v>
      </c>
      <c r="B18" s="2">
        <v>2</v>
      </c>
      <c r="C18" s="2">
        <v>10</v>
      </c>
    </row>
    <row r="19" spans="1:3" x14ac:dyDescent="0.3">
      <c r="A19" s="2">
        <v>18</v>
      </c>
      <c r="B19" s="2">
        <v>2</v>
      </c>
      <c r="C19" s="2">
        <v>12</v>
      </c>
    </row>
    <row r="20" spans="1:3" x14ac:dyDescent="0.3">
      <c r="A20" s="2">
        <v>19</v>
      </c>
      <c r="B20" s="2">
        <v>3</v>
      </c>
      <c r="C20" s="2">
        <v>8</v>
      </c>
    </row>
    <row r="21" spans="1:3" x14ac:dyDescent="0.3">
      <c r="A21" s="2">
        <v>20</v>
      </c>
      <c r="B21" s="2">
        <v>3</v>
      </c>
      <c r="C21" s="2">
        <v>9</v>
      </c>
    </row>
    <row r="22" spans="1:3" x14ac:dyDescent="0.3">
      <c r="A22" s="2">
        <v>21</v>
      </c>
      <c r="B22" s="2">
        <v>3</v>
      </c>
      <c r="C22" s="2">
        <v>13</v>
      </c>
    </row>
    <row r="23" spans="1:3" x14ac:dyDescent="0.3">
      <c r="A23" s="2">
        <v>22</v>
      </c>
      <c r="B23" s="2">
        <v>4</v>
      </c>
      <c r="C23" s="2">
        <v>8</v>
      </c>
    </row>
    <row r="24" spans="1:3" x14ac:dyDescent="0.3">
      <c r="A24" s="2">
        <v>23</v>
      </c>
      <c r="B24" s="2">
        <v>4</v>
      </c>
      <c r="C24" s="2">
        <v>9</v>
      </c>
    </row>
    <row r="25" spans="1:3" x14ac:dyDescent="0.3">
      <c r="A25" s="2">
        <v>24</v>
      </c>
      <c r="B25" s="2">
        <v>4</v>
      </c>
      <c r="C25" s="2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C514-50D0-4205-B51D-3D39004D1895}">
  <dimension ref="A1:D41"/>
  <sheetViews>
    <sheetView topLeftCell="A11" workbookViewId="0">
      <selection activeCell="A18" sqref="A18"/>
    </sheetView>
  </sheetViews>
  <sheetFormatPr baseColWidth="10" defaultColWidth="11.44140625" defaultRowHeight="14.4" x14ac:dyDescent="0.3"/>
  <cols>
    <col min="1" max="1" width="14.44140625" customWidth="1"/>
  </cols>
  <sheetData>
    <row r="1" spans="1:4" x14ac:dyDescent="0.3">
      <c r="A1" s="2" t="s">
        <v>11</v>
      </c>
      <c r="B1" s="2" t="s">
        <v>31</v>
      </c>
      <c r="C1" s="2" t="s">
        <v>26</v>
      </c>
      <c r="D1" s="2" t="s">
        <v>27</v>
      </c>
    </row>
    <row r="2" spans="1:4" x14ac:dyDescent="0.3">
      <c r="A2" s="2">
        <v>1</v>
      </c>
      <c r="B2" s="2">
        <v>1</v>
      </c>
      <c r="C2" s="2">
        <v>1</v>
      </c>
      <c r="D2" s="2">
        <v>1</v>
      </c>
    </row>
    <row r="3" spans="1:4" x14ac:dyDescent="0.3">
      <c r="A3" s="2">
        <v>2</v>
      </c>
      <c r="B3" s="2">
        <v>1</v>
      </c>
      <c r="C3" s="2">
        <v>2</v>
      </c>
      <c r="D3" s="2">
        <v>1</v>
      </c>
    </row>
    <row r="4" spans="1:4" x14ac:dyDescent="0.3">
      <c r="A4" s="2">
        <v>3</v>
      </c>
      <c r="B4" s="2">
        <v>1</v>
      </c>
      <c r="C4" s="2">
        <v>3</v>
      </c>
      <c r="D4" s="2">
        <v>1</v>
      </c>
    </row>
    <row r="5" spans="1:4" x14ac:dyDescent="0.3">
      <c r="A5" s="2">
        <v>4</v>
      </c>
      <c r="B5" s="2">
        <v>1</v>
      </c>
      <c r="C5" s="2">
        <v>4</v>
      </c>
      <c r="D5" s="2">
        <v>1</v>
      </c>
    </row>
    <row r="6" spans="1:4" x14ac:dyDescent="0.3">
      <c r="A6" s="2">
        <v>5</v>
      </c>
      <c r="B6" s="2">
        <v>1</v>
      </c>
      <c r="C6" s="2">
        <v>5</v>
      </c>
      <c r="D6" s="2">
        <v>1</v>
      </c>
    </row>
    <row r="7" spans="1:4" x14ac:dyDescent="0.3">
      <c r="A7" s="2">
        <v>6</v>
      </c>
      <c r="B7" s="2">
        <v>1</v>
      </c>
      <c r="C7" s="2">
        <v>6</v>
      </c>
      <c r="D7" s="2">
        <v>1</v>
      </c>
    </row>
    <row r="8" spans="1:4" x14ac:dyDescent="0.3">
      <c r="A8" s="2">
        <v>7</v>
      </c>
      <c r="B8" s="2">
        <v>2</v>
      </c>
      <c r="C8" s="2">
        <v>7</v>
      </c>
      <c r="D8" s="2">
        <v>1</v>
      </c>
    </row>
    <row r="9" spans="1:4" x14ac:dyDescent="0.3">
      <c r="A9" s="2">
        <v>8</v>
      </c>
      <c r="B9" s="2">
        <v>2</v>
      </c>
      <c r="C9" s="2">
        <v>8</v>
      </c>
      <c r="D9" s="2">
        <v>1</v>
      </c>
    </row>
    <row r="10" spans="1:4" x14ac:dyDescent="0.3">
      <c r="A10" s="2">
        <v>9</v>
      </c>
      <c r="B10" s="2">
        <v>2</v>
      </c>
      <c r="C10" s="2">
        <v>9</v>
      </c>
      <c r="D10" s="2">
        <v>1</v>
      </c>
    </row>
    <row r="11" spans="1:4" x14ac:dyDescent="0.3">
      <c r="A11" s="2">
        <v>10</v>
      </c>
      <c r="B11" s="2">
        <v>2</v>
      </c>
      <c r="C11" s="2">
        <v>10</v>
      </c>
      <c r="D11" s="2">
        <v>1</v>
      </c>
    </row>
    <row r="12" spans="1:4" x14ac:dyDescent="0.3">
      <c r="A12" s="2">
        <v>11</v>
      </c>
      <c r="B12" s="2">
        <v>2</v>
      </c>
      <c r="C12" s="2">
        <v>11</v>
      </c>
      <c r="D12" s="2">
        <v>1</v>
      </c>
    </row>
    <row r="13" spans="1:4" x14ac:dyDescent="0.3">
      <c r="A13" s="2">
        <v>12</v>
      </c>
      <c r="B13" s="2">
        <v>2</v>
      </c>
      <c r="C13" s="2">
        <v>12</v>
      </c>
      <c r="D13" s="2">
        <v>1</v>
      </c>
    </row>
    <row r="14" spans="1:4" x14ac:dyDescent="0.3">
      <c r="A14" s="2">
        <v>13</v>
      </c>
      <c r="B14" s="2">
        <v>3</v>
      </c>
      <c r="C14" s="2">
        <v>7</v>
      </c>
      <c r="D14" s="2">
        <v>1</v>
      </c>
    </row>
    <row r="15" spans="1:4" x14ac:dyDescent="0.3">
      <c r="A15" s="2">
        <v>14</v>
      </c>
      <c r="B15" s="2">
        <v>3</v>
      </c>
      <c r="C15" s="2">
        <v>8</v>
      </c>
      <c r="D15" s="2">
        <v>1</v>
      </c>
    </row>
    <row r="16" spans="1:4" x14ac:dyDescent="0.3">
      <c r="A16" s="2">
        <v>15</v>
      </c>
      <c r="B16" s="2">
        <v>3</v>
      </c>
      <c r="C16" s="2">
        <v>9</v>
      </c>
      <c r="D16" s="2">
        <v>1</v>
      </c>
    </row>
    <row r="17" spans="1:4" x14ac:dyDescent="0.3">
      <c r="A17" s="2">
        <v>16</v>
      </c>
      <c r="B17" s="2">
        <v>3</v>
      </c>
      <c r="C17" s="2">
        <v>10</v>
      </c>
      <c r="D17" s="2">
        <v>1</v>
      </c>
    </row>
    <row r="18" spans="1:4" x14ac:dyDescent="0.3">
      <c r="A18" s="2">
        <v>17</v>
      </c>
      <c r="B18" s="2">
        <v>4</v>
      </c>
      <c r="C18" s="2">
        <v>1</v>
      </c>
      <c r="D18" s="2">
        <v>2</v>
      </c>
    </row>
    <row r="19" spans="1:4" x14ac:dyDescent="0.3">
      <c r="A19" s="2">
        <v>18</v>
      </c>
      <c r="B19" s="2">
        <v>4</v>
      </c>
      <c r="C19" s="2">
        <v>2</v>
      </c>
      <c r="D19" s="2">
        <v>2</v>
      </c>
    </row>
    <row r="20" spans="1:4" x14ac:dyDescent="0.3">
      <c r="A20" s="2">
        <v>19</v>
      </c>
      <c r="B20" s="2">
        <v>4</v>
      </c>
      <c r="C20" s="2">
        <v>3</v>
      </c>
      <c r="D20" s="2">
        <v>2</v>
      </c>
    </row>
    <row r="21" spans="1:4" x14ac:dyDescent="0.3">
      <c r="A21" s="2">
        <v>20</v>
      </c>
      <c r="B21" s="2">
        <v>4</v>
      </c>
      <c r="C21" s="2">
        <v>4</v>
      </c>
      <c r="D21" s="2">
        <v>2</v>
      </c>
    </row>
    <row r="22" spans="1:4" x14ac:dyDescent="0.3">
      <c r="A22" s="2">
        <v>21</v>
      </c>
      <c r="B22" s="2">
        <v>4</v>
      </c>
      <c r="C22" s="2">
        <v>5</v>
      </c>
      <c r="D22" s="2">
        <v>2</v>
      </c>
    </row>
    <row r="23" spans="1:4" x14ac:dyDescent="0.3">
      <c r="A23" s="2">
        <v>22</v>
      </c>
      <c r="B23" s="2">
        <v>4</v>
      </c>
      <c r="C23" s="2">
        <v>6</v>
      </c>
      <c r="D23" s="2">
        <v>2</v>
      </c>
    </row>
    <row r="24" spans="1:4" x14ac:dyDescent="0.3">
      <c r="A24" s="2">
        <v>23</v>
      </c>
      <c r="B24" s="2">
        <v>4</v>
      </c>
      <c r="C24" s="2">
        <v>7</v>
      </c>
      <c r="D24" s="2">
        <v>2</v>
      </c>
    </row>
    <row r="25" spans="1:4" x14ac:dyDescent="0.3">
      <c r="A25" s="2">
        <v>24</v>
      </c>
      <c r="B25" s="2">
        <v>4</v>
      </c>
      <c r="C25" s="2">
        <v>8</v>
      </c>
      <c r="D25" s="2">
        <v>2</v>
      </c>
    </row>
    <row r="26" spans="1:4" x14ac:dyDescent="0.3">
      <c r="A26" s="2">
        <v>25</v>
      </c>
      <c r="B26" s="2">
        <v>4</v>
      </c>
      <c r="C26" s="2">
        <v>9</v>
      </c>
      <c r="D26" s="2">
        <v>2</v>
      </c>
    </row>
    <row r="27" spans="1:4" x14ac:dyDescent="0.3">
      <c r="A27" s="2">
        <v>26</v>
      </c>
      <c r="B27" s="2">
        <v>4</v>
      </c>
      <c r="C27" s="2">
        <v>10</v>
      </c>
      <c r="D27" s="2">
        <v>2</v>
      </c>
    </row>
    <row r="28" spans="1:4" x14ac:dyDescent="0.3">
      <c r="A28" s="2">
        <v>27</v>
      </c>
      <c r="B28" s="2">
        <v>4</v>
      </c>
      <c r="C28" s="2">
        <v>11</v>
      </c>
      <c r="D28" s="2">
        <v>2</v>
      </c>
    </row>
    <row r="29" spans="1:4" x14ac:dyDescent="0.3">
      <c r="A29" s="2">
        <v>28</v>
      </c>
      <c r="B29" s="2">
        <v>4</v>
      </c>
      <c r="C29" s="2">
        <v>12</v>
      </c>
      <c r="D29" s="2">
        <v>2</v>
      </c>
    </row>
    <row r="30" spans="1:4" x14ac:dyDescent="0.3">
      <c r="A30" s="2">
        <v>29</v>
      </c>
      <c r="B30" s="2">
        <v>5</v>
      </c>
      <c r="C30" s="2">
        <v>1</v>
      </c>
      <c r="D30" s="2">
        <v>2</v>
      </c>
    </row>
    <row r="31" spans="1:4" x14ac:dyDescent="0.3">
      <c r="A31" s="2">
        <v>30</v>
      </c>
      <c r="B31" s="2">
        <v>5</v>
      </c>
      <c r="C31" s="2">
        <v>2</v>
      </c>
      <c r="D31" s="2">
        <v>2</v>
      </c>
    </row>
    <row r="32" spans="1:4" x14ac:dyDescent="0.3">
      <c r="A32" s="2">
        <v>31</v>
      </c>
      <c r="B32" s="2">
        <v>5</v>
      </c>
      <c r="C32" s="2">
        <v>3</v>
      </c>
      <c r="D32" s="2">
        <v>2</v>
      </c>
    </row>
    <row r="33" spans="1:4" x14ac:dyDescent="0.3">
      <c r="A33" s="2">
        <v>32</v>
      </c>
      <c r="B33" s="2">
        <v>5</v>
      </c>
      <c r="C33" s="2">
        <v>4</v>
      </c>
      <c r="D33" s="2">
        <v>2</v>
      </c>
    </row>
    <row r="34" spans="1:4" x14ac:dyDescent="0.3">
      <c r="A34" s="2">
        <v>33</v>
      </c>
      <c r="B34" s="2">
        <v>5</v>
      </c>
      <c r="C34" s="2">
        <v>5</v>
      </c>
      <c r="D34" s="2">
        <v>2</v>
      </c>
    </row>
    <row r="35" spans="1:4" x14ac:dyDescent="0.3">
      <c r="A35" s="2">
        <v>34</v>
      </c>
      <c r="B35" s="2">
        <v>5</v>
      </c>
      <c r="C35" s="2">
        <v>6</v>
      </c>
      <c r="D35" s="2">
        <v>2</v>
      </c>
    </row>
    <row r="36" spans="1:4" x14ac:dyDescent="0.3">
      <c r="A36" s="2">
        <v>35</v>
      </c>
      <c r="B36" s="2">
        <v>5</v>
      </c>
      <c r="C36" s="2">
        <v>7</v>
      </c>
      <c r="D36" s="2">
        <v>2</v>
      </c>
    </row>
    <row r="37" spans="1:4" x14ac:dyDescent="0.3">
      <c r="A37" s="2">
        <v>36</v>
      </c>
      <c r="B37" s="2">
        <v>5</v>
      </c>
      <c r="C37" s="2">
        <v>8</v>
      </c>
      <c r="D37" s="2">
        <v>2</v>
      </c>
    </row>
    <row r="38" spans="1:4" x14ac:dyDescent="0.3">
      <c r="A38" s="2">
        <v>37</v>
      </c>
      <c r="B38" s="2">
        <v>5</v>
      </c>
      <c r="C38" s="2">
        <v>9</v>
      </c>
      <c r="D38" s="2">
        <v>2</v>
      </c>
    </row>
    <row r="39" spans="1:4" x14ac:dyDescent="0.3">
      <c r="A39" s="2">
        <v>38</v>
      </c>
      <c r="B39" s="2">
        <v>5</v>
      </c>
      <c r="C39" s="2">
        <v>10</v>
      </c>
      <c r="D39" s="2">
        <v>2</v>
      </c>
    </row>
    <row r="40" spans="1:4" x14ac:dyDescent="0.3">
      <c r="A40" s="2">
        <v>39</v>
      </c>
      <c r="B40" s="2">
        <v>5</v>
      </c>
      <c r="C40" s="2">
        <v>11</v>
      </c>
      <c r="D40" s="2">
        <v>2</v>
      </c>
    </row>
    <row r="41" spans="1:4" x14ac:dyDescent="0.3">
      <c r="A41" s="2">
        <v>40</v>
      </c>
      <c r="B41" s="2">
        <v>5</v>
      </c>
      <c r="C41" s="2">
        <v>12</v>
      </c>
      <c r="D41" s="2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E3B0-0DE9-48C6-98CC-BB219A4C0552}">
  <dimension ref="A1:C6"/>
  <sheetViews>
    <sheetView workbookViewId="0">
      <selection activeCell="C2" sqref="C2:C6"/>
    </sheetView>
  </sheetViews>
  <sheetFormatPr baseColWidth="10" defaultColWidth="11.44140625" defaultRowHeight="14.4" x14ac:dyDescent="0.3"/>
  <cols>
    <col min="1" max="1" width="15.5546875" customWidth="1"/>
    <col min="3" max="3" width="16.33203125" customWidth="1"/>
  </cols>
  <sheetData>
    <row r="1" spans="1:3" x14ac:dyDescent="0.3">
      <c r="A1" s="3" t="s">
        <v>6</v>
      </c>
      <c r="B1" s="3" t="s">
        <v>29</v>
      </c>
      <c r="C1" s="3" t="s">
        <v>27</v>
      </c>
    </row>
    <row r="2" spans="1:3" x14ac:dyDescent="0.3">
      <c r="A2" s="3">
        <v>1</v>
      </c>
      <c r="B2" s="3">
        <v>1</v>
      </c>
      <c r="C2" s="3">
        <v>1</v>
      </c>
    </row>
    <row r="3" spans="1:3" x14ac:dyDescent="0.3">
      <c r="A3" s="3">
        <v>2</v>
      </c>
      <c r="B3" s="3">
        <v>2</v>
      </c>
      <c r="C3" s="3">
        <v>1</v>
      </c>
    </row>
    <row r="4" spans="1:3" x14ac:dyDescent="0.3">
      <c r="A4" s="3">
        <v>3</v>
      </c>
      <c r="B4" s="3">
        <v>3</v>
      </c>
      <c r="C4" s="3">
        <v>2</v>
      </c>
    </row>
    <row r="5" spans="1:3" x14ac:dyDescent="0.3">
      <c r="A5" s="3">
        <v>4</v>
      </c>
      <c r="B5" s="3">
        <v>4</v>
      </c>
      <c r="C5" s="3">
        <v>2</v>
      </c>
    </row>
    <row r="6" spans="1:3" x14ac:dyDescent="0.3">
      <c r="A6" s="3">
        <v>5</v>
      </c>
      <c r="B6" s="3">
        <v>1</v>
      </c>
      <c r="C6" s="3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F437-B5FB-49CB-92DA-61AAADF19980}">
  <dimension ref="A1:H219"/>
  <sheetViews>
    <sheetView topLeftCell="A212" zoomScaleNormal="100" workbookViewId="0">
      <selection activeCell="E2" sqref="E2"/>
    </sheetView>
  </sheetViews>
  <sheetFormatPr baseColWidth="10" defaultColWidth="11.44140625" defaultRowHeight="14.4" x14ac:dyDescent="0.3"/>
  <cols>
    <col min="1" max="1" width="15.44140625" customWidth="1"/>
    <col min="2" max="2" width="19.109375" customWidth="1"/>
    <col min="3" max="3" width="15.5546875" customWidth="1"/>
    <col min="4" max="4" width="9" customWidth="1"/>
    <col min="5" max="5" width="10.33203125" customWidth="1"/>
  </cols>
  <sheetData>
    <row r="1" spans="1:8" x14ac:dyDescent="0.3">
      <c r="A1" s="2" t="s">
        <v>32</v>
      </c>
      <c r="B1" s="2" t="s">
        <v>33</v>
      </c>
      <c r="C1" s="2" t="s">
        <v>29</v>
      </c>
      <c r="D1" s="2" t="s">
        <v>26</v>
      </c>
      <c r="E1" s="2" t="s">
        <v>18</v>
      </c>
      <c r="F1" s="2" t="s">
        <v>34</v>
      </c>
      <c r="G1" s="2"/>
      <c r="H1" s="2"/>
    </row>
    <row r="2" spans="1:8" x14ac:dyDescent="0.3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33</v>
      </c>
      <c r="G2" s="2"/>
      <c r="H2" s="2"/>
    </row>
    <row r="3" spans="1:8" x14ac:dyDescent="0.3">
      <c r="A3" s="2">
        <v>2</v>
      </c>
      <c r="B3" s="2">
        <v>1</v>
      </c>
      <c r="C3" s="2">
        <v>1</v>
      </c>
      <c r="D3" s="2">
        <v>1</v>
      </c>
      <c r="E3" s="2">
        <v>2</v>
      </c>
      <c r="F3" s="2">
        <v>28</v>
      </c>
      <c r="G3" s="2"/>
      <c r="H3" s="2"/>
    </row>
    <row r="4" spans="1:8" x14ac:dyDescent="0.3">
      <c r="A4" s="2">
        <v>3</v>
      </c>
      <c r="B4" s="2">
        <v>1</v>
      </c>
      <c r="C4" s="2">
        <v>1</v>
      </c>
      <c r="D4" s="2">
        <v>1</v>
      </c>
      <c r="E4" s="2">
        <v>3</v>
      </c>
      <c r="F4" s="2">
        <v>23</v>
      </c>
      <c r="G4" s="2"/>
      <c r="H4" s="2"/>
    </row>
    <row r="5" spans="1:8" x14ac:dyDescent="0.3">
      <c r="A5" s="2">
        <v>4</v>
      </c>
      <c r="B5" s="2">
        <v>1</v>
      </c>
      <c r="C5" s="2">
        <v>1</v>
      </c>
      <c r="D5" s="2">
        <v>2</v>
      </c>
      <c r="E5" s="2">
        <v>1</v>
      </c>
      <c r="F5" s="2">
        <v>33</v>
      </c>
      <c r="G5" s="2"/>
      <c r="H5" s="2"/>
    </row>
    <row r="6" spans="1:8" x14ac:dyDescent="0.3">
      <c r="A6" s="2">
        <v>5</v>
      </c>
      <c r="B6" s="2">
        <v>1</v>
      </c>
      <c r="C6" s="2">
        <v>1</v>
      </c>
      <c r="D6" s="2">
        <v>2</v>
      </c>
      <c r="E6" s="2">
        <v>2</v>
      </c>
      <c r="F6" s="2">
        <v>28</v>
      </c>
      <c r="G6" s="2"/>
      <c r="H6" s="2"/>
    </row>
    <row r="7" spans="1:8" x14ac:dyDescent="0.3">
      <c r="A7" s="2">
        <v>6</v>
      </c>
      <c r="B7" s="2">
        <v>1</v>
      </c>
      <c r="C7" s="2">
        <v>1</v>
      </c>
      <c r="D7" s="2">
        <v>2</v>
      </c>
      <c r="E7" s="2">
        <v>3</v>
      </c>
      <c r="F7" s="2">
        <v>23</v>
      </c>
      <c r="G7" s="2"/>
      <c r="H7" s="2"/>
    </row>
    <row r="8" spans="1:8" x14ac:dyDescent="0.3">
      <c r="A8" s="2">
        <v>7</v>
      </c>
      <c r="B8" s="2">
        <v>1</v>
      </c>
      <c r="C8" s="2">
        <v>1</v>
      </c>
      <c r="D8" s="2">
        <v>3</v>
      </c>
      <c r="E8" s="2">
        <v>1</v>
      </c>
      <c r="F8" s="2">
        <v>33</v>
      </c>
      <c r="G8" s="2"/>
      <c r="H8" s="2"/>
    </row>
    <row r="9" spans="1:8" x14ac:dyDescent="0.3">
      <c r="A9" s="2">
        <v>8</v>
      </c>
      <c r="B9" s="2">
        <v>1</v>
      </c>
      <c r="C9" s="2">
        <v>1</v>
      </c>
      <c r="D9" s="2">
        <v>3</v>
      </c>
      <c r="E9" s="2">
        <v>2</v>
      </c>
      <c r="F9" s="2">
        <v>28</v>
      </c>
      <c r="G9" s="2"/>
      <c r="H9" s="2"/>
    </row>
    <row r="10" spans="1:8" x14ac:dyDescent="0.3">
      <c r="A10" s="2">
        <v>9</v>
      </c>
      <c r="B10" s="2">
        <v>1</v>
      </c>
      <c r="C10" s="2">
        <v>1</v>
      </c>
      <c r="D10" s="2">
        <v>3</v>
      </c>
      <c r="E10" s="2">
        <v>3</v>
      </c>
      <c r="F10" s="2">
        <v>23</v>
      </c>
      <c r="G10" s="2"/>
      <c r="H10" s="2"/>
    </row>
    <row r="11" spans="1:8" x14ac:dyDescent="0.3">
      <c r="A11" s="2">
        <v>10</v>
      </c>
      <c r="B11" s="2">
        <v>1</v>
      </c>
      <c r="C11" s="2">
        <v>1</v>
      </c>
      <c r="D11" s="2">
        <v>4</v>
      </c>
      <c r="E11" s="2">
        <v>1</v>
      </c>
      <c r="F11" s="2">
        <v>33</v>
      </c>
      <c r="G11" s="2"/>
      <c r="H11" s="2"/>
    </row>
    <row r="12" spans="1:8" x14ac:dyDescent="0.3">
      <c r="A12" s="2">
        <v>11</v>
      </c>
      <c r="B12" s="2">
        <v>1</v>
      </c>
      <c r="C12" s="2">
        <v>1</v>
      </c>
      <c r="D12" s="2">
        <v>4</v>
      </c>
      <c r="E12" s="2">
        <v>2</v>
      </c>
      <c r="F12" s="2">
        <v>28</v>
      </c>
      <c r="G12" s="2"/>
      <c r="H12" s="2"/>
    </row>
    <row r="13" spans="1:8" x14ac:dyDescent="0.3">
      <c r="A13" s="2">
        <v>12</v>
      </c>
      <c r="B13" s="2">
        <v>1</v>
      </c>
      <c r="C13" s="2">
        <v>1</v>
      </c>
      <c r="D13" s="2">
        <v>4</v>
      </c>
      <c r="E13" s="2">
        <v>3</v>
      </c>
      <c r="F13" s="2">
        <v>23</v>
      </c>
      <c r="G13" s="2"/>
      <c r="H13" s="2"/>
    </row>
    <row r="14" spans="1:8" x14ac:dyDescent="0.3">
      <c r="A14" s="2">
        <v>13</v>
      </c>
      <c r="B14" s="2">
        <v>1</v>
      </c>
      <c r="C14" s="2">
        <v>1</v>
      </c>
      <c r="D14" s="2">
        <v>5</v>
      </c>
      <c r="E14" s="2">
        <v>1</v>
      </c>
      <c r="F14" s="2">
        <v>33</v>
      </c>
      <c r="G14" s="2"/>
      <c r="H14" s="2"/>
    </row>
    <row r="15" spans="1:8" x14ac:dyDescent="0.3">
      <c r="A15" s="2">
        <v>14</v>
      </c>
      <c r="B15" s="2">
        <v>1</v>
      </c>
      <c r="C15" s="2">
        <v>1</v>
      </c>
      <c r="D15" s="2">
        <v>5</v>
      </c>
      <c r="E15" s="2">
        <v>2</v>
      </c>
      <c r="F15" s="2">
        <v>28</v>
      </c>
      <c r="G15" s="2"/>
      <c r="H15" s="2"/>
    </row>
    <row r="16" spans="1:8" x14ac:dyDescent="0.3">
      <c r="A16" s="2">
        <v>15</v>
      </c>
      <c r="B16" s="2">
        <v>1</v>
      </c>
      <c r="C16" s="2">
        <v>1</v>
      </c>
      <c r="D16" s="2">
        <v>5</v>
      </c>
      <c r="E16" s="2">
        <v>3</v>
      </c>
      <c r="F16" s="2">
        <v>23</v>
      </c>
      <c r="G16" s="2"/>
      <c r="H16" s="2"/>
    </row>
    <row r="17" spans="1:8" x14ac:dyDescent="0.3">
      <c r="A17" s="2">
        <v>16</v>
      </c>
      <c r="B17" s="2">
        <v>1</v>
      </c>
      <c r="C17" s="2">
        <v>1</v>
      </c>
      <c r="D17" s="2">
        <v>6</v>
      </c>
      <c r="E17" s="2">
        <v>1</v>
      </c>
      <c r="F17" s="2">
        <v>33</v>
      </c>
      <c r="G17" s="2"/>
      <c r="H17" s="2"/>
    </row>
    <row r="18" spans="1:8" x14ac:dyDescent="0.3">
      <c r="A18" s="2">
        <v>17</v>
      </c>
      <c r="B18" s="2">
        <v>1</v>
      </c>
      <c r="C18" s="2">
        <v>1</v>
      </c>
      <c r="D18" s="2">
        <v>6</v>
      </c>
      <c r="E18" s="2">
        <v>2</v>
      </c>
      <c r="F18" s="2">
        <v>28</v>
      </c>
      <c r="G18" s="2"/>
      <c r="H18" s="2"/>
    </row>
    <row r="19" spans="1:8" x14ac:dyDescent="0.3">
      <c r="A19" s="2">
        <v>18</v>
      </c>
      <c r="B19" s="2">
        <v>1</v>
      </c>
      <c r="C19" s="2">
        <v>1</v>
      </c>
      <c r="D19" s="2">
        <v>6</v>
      </c>
      <c r="E19" s="2">
        <v>3</v>
      </c>
      <c r="F19" s="2">
        <v>23</v>
      </c>
      <c r="G19" s="2"/>
      <c r="H19" s="2"/>
    </row>
    <row r="20" spans="1:8" x14ac:dyDescent="0.3">
      <c r="A20" s="2">
        <v>19</v>
      </c>
      <c r="B20" s="2">
        <v>1</v>
      </c>
      <c r="C20" s="2">
        <v>1</v>
      </c>
      <c r="D20" s="2">
        <v>7</v>
      </c>
      <c r="E20" s="2">
        <v>1</v>
      </c>
      <c r="F20" s="2">
        <v>35</v>
      </c>
      <c r="G20" s="2"/>
      <c r="H20" s="2"/>
    </row>
    <row r="21" spans="1:8" x14ac:dyDescent="0.3">
      <c r="A21" s="2">
        <v>20</v>
      </c>
      <c r="B21" s="2">
        <v>1</v>
      </c>
      <c r="C21" s="2">
        <v>1</v>
      </c>
      <c r="D21" s="2">
        <v>7</v>
      </c>
      <c r="E21" s="2">
        <v>2</v>
      </c>
      <c r="F21" s="2">
        <v>32</v>
      </c>
      <c r="G21" s="2"/>
      <c r="H21" s="2"/>
    </row>
    <row r="22" spans="1:8" x14ac:dyDescent="0.3">
      <c r="A22" s="2">
        <v>21</v>
      </c>
      <c r="B22" s="2">
        <v>1</v>
      </c>
      <c r="C22" s="2">
        <v>1</v>
      </c>
      <c r="D22" s="2">
        <v>7</v>
      </c>
      <c r="E22" s="2">
        <v>3</v>
      </c>
      <c r="F22" s="2">
        <v>26</v>
      </c>
      <c r="G22" s="2"/>
      <c r="H22" s="2"/>
    </row>
    <row r="23" spans="1:8" x14ac:dyDescent="0.3">
      <c r="A23" s="2">
        <v>22</v>
      </c>
      <c r="B23" s="2">
        <v>1</v>
      </c>
      <c r="C23" s="2">
        <v>1</v>
      </c>
      <c r="D23" s="2">
        <v>8</v>
      </c>
      <c r="E23" s="2">
        <v>1</v>
      </c>
      <c r="F23" s="2">
        <v>35</v>
      </c>
      <c r="G23" s="2"/>
      <c r="H23" s="2"/>
    </row>
    <row r="24" spans="1:8" x14ac:dyDescent="0.3">
      <c r="A24" s="2">
        <v>23</v>
      </c>
      <c r="B24" s="2">
        <v>1</v>
      </c>
      <c r="C24" s="2">
        <v>1</v>
      </c>
      <c r="D24" s="2">
        <v>8</v>
      </c>
      <c r="E24" s="2">
        <v>2</v>
      </c>
      <c r="F24" s="2">
        <v>32</v>
      </c>
      <c r="G24" s="2"/>
      <c r="H24" s="2"/>
    </row>
    <row r="25" spans="1:8" x14ac:dyDescent="0.3">
      <c r="A25" s="2">
        <v>24</v>
      </c>
      <c r="B25" s="2">
        <v>1</v>
      </c>
      <c r="C25" s="2">
        <v>1</v>
      </c>
      <c r="D25" s="2">
        <v>8</v>
      </c>
      <c r="E25" s="2">
        <v>3</v>
      </c>
      <c r="F25" s="2">
        <v>26</v>
      </c>
      <c r="G25" s="2"/>
      <c r="H25" s="2"/>
    </row>
    <row r="26" spans="1:8" x14ac:dyDescent="0.3">
      <c r="A26" s="2">
        <v>25</v>
      </c>
      <c r="B26" s="2">
        <v>1</v>
      </c>
      <c r="C26" s="2">
        <v>1</v>
      </c>
      <c r="D26" s="2">
        <v>9</v>
      </c>
      <c r="E26" s="2">
        <v>1</v>
      </c>
      <c r="F26" s="2">
        <v>35</v>
      </c>
      <c r="G26" s="2"/>
      <c r="H26" s="2"/>
    </row>
    <row r="27" spans="1:8" x14ac:dyDescent="0.3">
      <c r="A27" s="2">
        <v>26</v>
      </c>
      <c r="B27" s="2">
        <v>1</v>
      </c>
      <c r="C27" s="2">
        <v>1</v>
      </c>
      <c r="D27" s="2">
        <v>9</v>
      </c>
      <c r="E27" s="2">
        <v>2</v>
      </c>
      <c r="F27" s="2">
        <v>32</v>
      </c>
      <c r="G27" s="2"/>
      <c r="H27" s="2"/>
    </row>
    <row r="28" spans="1:8" x14ac:dyDescent="0.3">
      <c r="A28" s="2">
        <v>27</v>
      </c>
      <c r="B28" s="2">
        <v>1</v>
      </c>
      <c r="C28" s="2">
        <v>1</v>
      </c>
      <c r="D28" s="2">
        <v>9</v>
      </c>
      <c r="E28" s="2">
        <v>3</v>
      </c>
      <c r="F28" s="2">
        <v>26</v>
      </c>
      <c r="G28" s="2"/>
      <c r="H28" s="2"/>
    </row>
    <row r="29" spans="1:8" x14ac:dyDescent="0.3">
      <c r="A29" s="2">
        <v>28</v>
      </c>
      <c r="B29" s="2">
        <v>1</v>
      </c>
      <c r="C29" s="2">
        <v>1</v>
      </c>
      <c r="D29" s="2">
        <v>10</v>
      </c>
      <c r="E29" s="2">
        <v>1</v>
      </c>
      <c r="F29" s="2">
        <v>35</v>
      </c>
      <c r="G29" s="2"/>
      <c r="H29" s="2"/>
    </row>
    <row r="30" spans="1:8" x14ac:dyDescent="0.3">
      <c r="A30" s="2">
        <v>29</v>
      </c>
      <c r="B30" s="2">
        <v>1</v>
      </c>
      <c r="C30" s="2">
        <v>1</v>
      </c>
      <c r="D30" s="2">
        <v>10</v>
      </c>
      <c r="E30" s="2">
        <v>2</v>
      </c>
      <c r="F30" s="2">
        <v>32</v>
      </c>
      <c r="G30" s="2"/>
      <c r="H30" s="2"/>
    </row>
    <row r="31" spans="1:8" x14ac:dyDescent="0.3">
      <c r="A31" s="2">
        <v>30</v>
      </c>
      <c r="B31" s="2">
        <v>1</v>
      </c>
      <c r="C31" s="2">
        <v>1</v>
      </c>
      <c r="D31" s="2">
        <v>10</v>
      </c>
      <c r="E31" s="2">
        <v>3</v>
      </c>
      <c r="F31" s="2">
        <v>26</v>
      </c>
      <c r="G31" s="2"/>
      <c r="H31" s="2"/>
    </row>
    <row r="32" spans="1:8" x14ac:dyDescent="0.3">
      <c r="A32" s="2">
        <v>31</v>
      </c>
      <c r="B32" s="2">
        <v>1</v>
      </c>
      <c r="C32" s="2">
        <v>1</v>
      </c>
      <c r="D32" s="2">
        <v>11</v>
      </c>
      <c r="E32" s="2">
        <v>1</v>
      </c>
      <c r="F32" s="2">
        <v>41</v>
      </c>
      <c r="G32" s="2"/>
      <c r="H32" s="2"/>
    </row>
    <row r="33" spans="1:8" x14ac:dyDescent="0.3">
      <c r="A33" s="2">
        <v>32</v>
      </c>
      <c r="B33" s="2">
        <v>1</v>
      </c>
      <c r="C33" s="2">
        <v>1</v>
      </c>
      <c r="D33" s="2">
        <v>11</v>
      </c>
      <c r="E33" s="2">
        <v>2</v>
      </c>
      <c r="F33" s="2">
        <v>38</v>
      </c>
      <c r="G33" s="2"/>
      <c r="H33" s="2"/>
    </row>
    <row r="34" spans="1:8" x14ac:dyDescent="0.3">
      <c r="A34" s="2">
        <v>33</v>
      </c>
      <c r="B34" s="2">
        <v>1</v>
      </c>
      <c r="C34" s="2">
        <v>1</v>
      </c>
      <c r="D34" s="2">
        <v>11</v>
      </c>
      <c r="E34" s="2">
        <v>3</v>
      </c>
      <c r="F34" s="2">
        <v>32</v>
      </c>
      <c r="G34" s="2"/>
      <c r="H34" s="2"/>
    </row>
    <row r="35" spans="1:8" x14ac:dyDescent="0.3">
      <c r="A35" s="2">
        <v>34</v>
      </c>
      <c r="B35" s="2">
        <v>1</v>
      </c>
      <c r="C35" s="2">
        <v>1</v>
      </c>
      <c r="D35" s="2">
        <v>12</v>
      </c>
      <c r="E35" s="2">
        <v>1</v>
      </c>
      <c r="F35" s="2">
        <v>45</v>
      </c>
      <c r="G35" s="2"/>
      <c r="H35" s="2"/>
    </row>
    <row r="36" spans="1:8" x14ac:dyDescent="0.3">
      <c r="A36" s="2">
        <v>35</v>
      </c>
      <c r="B36" s="2">
        <v>1</v>
      </c>
      <c r="C36" s="2">
        <v>1</v>
      </c>
      <c r="D36" s="2">
        <v>12</v>
      </c>
      <c r="E36" s="2">
        <v>2</v>
      </c>
      <c r="F36" s="2">
        <v>42</v>
      </c>
      <c r="G36" s="2"/>
      <c r="H36" s="2"/>
    </row>
    <row r="37" spans="1:8" x14ac:dyDescent="0.3">
      <c r="A37" s="2">
        <v>36</v>
      </c>
      <c r="B37" s="2">
        <v>1</v>
      </c>
      <c r="C37" s="2">
        <v>1</v>
      </c>
      <c r="D37" s="2">
        <v>12</v>
      </c>
      <c r="E37" s="2">
        <v>3</v>
      </c>
      <c r="F37" s="2">
        <v>36</v>
      </c>
      <c r="G37" s="2"/>
      <c r="H37" s="2"/>
    </row>
    <row r="38" spans="1:8" x14ac:dyDescent="0.3">
      <c r="A38" s="2">
        <v>37</v>
      </c>
      <c r="B38" s="2">
        <v>1</v>
      </c>
      <c r="C38" s="2">
        <v>2</v>
      </c>
      <c r="D38" s="2">
        <v>1</v>
      </c>
      <c r="E38" s="2">
        <v>1</v>
      </c>
      <c r="F38" s="2">
        <v>26</v>
      </c>
      <c r="G38" s="2"/>
      <c r="H38" s="2"/>
    </row>
    <row r="39" spans="1:8" x14ac:dyDescent="0.3">
      <c r="A39" s="2">
        <v>38</v>
      </c>
      <c r="B39" s="2">
        <v>1</v>
      </c>
      <c r="C39" s="2">
        <v>2</v>
      </c>
      <c r="D39" s="2">
        <v>1</v>
      </c>
      <c r="E39" s="2">
        <v>2</v>
      </c>
      <c r="F39" s="2">
        <v>23</v>
      </c>
      <c r="G39" s="2"/>
      <c r="H39" s="2"/>
    </row>
    <row r="40" spans="1:8" x14ac:dyDescent="0.3">
      <c r="A40" s="2">
        <v>39</v>
      </c>
      <c r="B40" s="2">
        <v>1</v>
      </c>
      <c r="C40" s="2">
        <v>2</v>
      </c>
      <c r="D40" s="2">
        <v>1</v>
      </c>
      <c r="E40" s="2">
        <v>3</v>
      </c>
      <c r="F40" s="2">
        <v>19</v>
      </c>
      <c r="G40" s="2"/>
      <c r="H40" s="2"/>
    </row>
    <row r="41" spans="1:8" x14ac:dyDescent="0.3">
      <c r="A41" s="2">
        <v>40</v>
      </c>
      <c r="B41" s="2">
        <v>1</v>
      </c>
      <c r="C41" s="2">
        <v>2</v>
      </c>
      <c r="D41" s="2">
        <v>2</v>
      </c>
      <c r="E41" s="2">
        <v>1</v>
      </c>
      <c r="F41" s="2">
        <v>26</v>
      </c>
      <c r="G41" s="2"/>
      <c r="H41" s="2"/>
    </row>
    <row r="42" spans="1:8" x14ac:dyDescent="0.3">
      <c r="A42" s="2">
        <v>41</v>
      </c>
      <c r="B42" s="2">
        <v>1</v>
      </c>
      <c r="C42" s="2">
        <v>2</v>
      </c>
      <c r="D42" s="2">
        <v>2</v>
      </c>
      <c r="E42" s="2">
        <v>2</v>
      </c>
      <c r="F42" s="2">
        <v>23</v>
      </c>
      <c r="G42" s="2"/>
      <c r="H42" s="2"/>
    </row>
    <row r="43" spans="1:8" x14ac:dyDescent="0.3">
      <c r="A43" s="2">
        <v>42</v>
      </c>
      <c r="B43" s="2">
        <v>1</v>
      </c>
      <c r="C43" s="2">
        <v>2</v>
      </c>
      <c r="D43" s="2">
        <v>2</v>
      </c>
      <c r="E43" s="2">
        <v>3</v>
      </c>
      <c r="F43" s="2">
        <v>19</v>
      </c>
      <c r="G43" s="2"/>
      <c r="H43" s="2"/>
    </row>
    <row r="44" spans="1:8" x14ac:dyDescent="0.3">
      <c r="A44" s="2">
        <v>43</v>
      </c>
      <c r="B44" s="2">
        <v>1</v>
      </c>
      <c r="C44" s="2">
        <v>2</v>
      </c>
      <c r="D44" s="2">
        <v>3</v>
      </c>
      <c r="E44" s="2">
        <v>1</v>
      </c>
      <c r="F44" s="2">
        <v>26</v>
      </c>
      <c r="G44" s="2"/>
      <c r="H44" s="2"/>
    </row>
    <row r="45" spans="1:8" x14ac:dyDescent="0.3">
      <c r="A45" s="2">
        <v>44</v>
      </c>
      <c r="B45" s="2">
        <v>1</v>
      </c>
      <c r="C45" s="2">
        <v>2</v>
      </c>
      <c r="D45" s="2">
        <v>3</v>
      </c>
      <c r="E45" s="2">
        <v>2</v>
      </c>
      <c r="F45" s="2">
        <v>23</v>
      </c>
      <c r="G45" s="2"/>
      <c r="H45" s="2"/>
    </row>
    <row r="46" spans="1:8" x14ac:dyDescent="0.3">
      <c r="A46" s="2">
        <v>45</v>
      </c>
      <c r="B46" s="2">
        <v>1</v>
      </c>
      <c r="C46" s="2">
        <v>2</v>
      </c>
      <c r="D46" s="2">
        <v>3</v>
      </c>
      <c r="E46" s="2">
        <v>3</v>
      </c>
      <c r="F46" s="2">
        <v>19</v>
      </c>
      <c r="G46" s="2"/>
      <c r="H46" s="2"/>
    </row>
    <row r="47" spans="1:8" x14ac:dyDescent="0.3">
      <c r="A47" s="2">
        <v>46</v>
      </c>
      <c r="B47" s="2">
        <v>1</v>
      </c>
      <c r="C47" s="2">
        <v>2</v>
      </c>
      <c r="D47" s="2">
        <v>4</v>
      </c>
      <c r="E47" s="2">
        <v>1</v>
      </c>
      <c r="F47" s="2">
        <v>26</v>
      </c>
      <c r="G47" s="2"/>
      <c r="H47" s="2"/>
    </row>
    <row r="48" spans="1:8" x14ac:dyDescent="0.3">
      <c r="A48" s="2">
        <v>47</v>
      </c>
      <c r="B48" s="2">
        <v>1</v>
      </c>
      <c r="C48" s="2">
        <v>2</v>
      </c>
      <c r="D48" s="2">
        <v>4</v>
      </c>
      <c r="E48" s="2">
        <v>2</v>
      </c>
      <c r="F48" s="2">
        <v>23</v>
      </c>
      <c r="G48" s="2"/>
      <c r="H48" s="2"/>
    </row>
    <row r="49" spans="1:8" x14ac:dyDescent="0.3">
      <c r="A49" s="2">
        <v>48</v>
      </c>
      <c r="B49" s="2">
        <v>1</v>
      </c>
      <c r="C49" s="2">
        <v>2</v>
      </c>
      <c r="D49" s="2">
        <v>4</v>
      </c>
      <c r="E49" s="2">
        <v>3</v>
      </c>
      <c r="F49" s="2">
        <v>19</v>
      </c>
      <c r="G49" s="2"/>
      <c r="H49" s="2"/>
    </row>
    <row r="50" spans="1:8" x14ac:dyDescent="0.3">
      <c r="A50" s="2">
        <v>49</v>
      </c>
      <c r="B50" s="2">
        <v>1</v>
      </c>
      <c r="C50" s="2">
        <v>2</v>
      </c>
      <c r="D50" s="2">
        <v>5</v>
      </c>
      <c r="E50" s="2">
        <v>1</v>
      </c>
      <c r="F50" s="2">
        <v>26</v>
      </c>
      <c r="G50" s="2"/>
      <c r="H50" s="2"/>
    </row>
    <row r="51" spans="1:8" x14ac:dyDescent="0.3">
      <c r="A51" s="2">
        <v>50</v>
      </c>
      <c r="B51" s="2">
        <v>1</v>
      </c>
      <c r="C51" s="2">
        <v>2</v>
      </c>
      <c r="D51" s="2">
        <v>5</v>
      </c>
      <c r="E51" s="2">
        <v>2</v>
      </c>
      <c r="F51" s="2">
        <v>23</v>
      </c>
      <c r="G51" s="2"/>
      <c r="H51" s="2"/>
    </row>
    <row r="52" spans="1:8" x14ac:dyDescent="0.3">
      <c r="A52" s="2">
        <v>51</v>
      </c>
      <c r="B52" s="2">
        <v>1</v>
      </c>
      <c r="C52" s="2">
        <v>2</v>
      </c>
      <c r="D52" s="2">
        <v>5</v>
      </c>
      <c r="E52" s="2">
        <v>3</v>
      </c>
      <c r="F52" s="2">
        <v>19</v>
      </c>
      <c r="G52" s="2"/>
      <c r="H52" s="2"/>
    </row>
    <row r="53" spans="1:8" x14ac:dyDescent="0.3">
      <c r="A53" s="2">
        <v>52</v>
      </c>
      <c r="B53" s="2">
        <v>1</v>
      </c>
      <c r="C53" s="2">
        <v>2</v>
      </c>
      <c r="D53" s="2">
        <v>6</v>
      </c>
      <c r="E53" s="2">
        <v>1</v>
      </c>
      <c r="F53" s="2">
        <v>26</v>
      </c>
      <c r="G53" s="2"/>
      <c r="H53" s="2"/>
    </row>
    <row r="54" spans="1:8" x14ac:dyDescent="0.3">
      <c r="A54" s="2">
        <v>53</v>
      </c>
      <c r="B54" s="2">
        <v>1</v>
      </c>
      <c r="C54" s="2">
        <v>2</v>
      </c>
      <c r="D54" s="2">
        <v>6</v>
      </c>
      <c r="E54" s="2">
        <v>2</v>
      </c>
      <c r="F54" s="2">
        <v>23</v>
      </c>
      <c r="G54" s="2"/>
      <c r="H54" s="2"/>
    </row>
    <row r="55" spans="1:8" x14ac:dyDescent="0.3">
      <c r="A55" s="2">
        <v>54</v>
      </c>
      <c r="B55" s="2">
        <v>1</v>
      </c>
      <c r="C55" s="2">
        <v>2</v>
      </c>
      <c r="D55" s="2">
        <v>6</v>
      </c>
      <c r="E55" s="2">
        <v>3</v>
      </c>
      <c r="F55" s="2">
        <v>19</v>
      </c>
      <c r="G55" s="2"/>
      <c r="H55" s="2"/>
    </row>
    <row r="56" spans="1:8" x14ac:dyDescent="0.3">
      <c r="A56" s="2">
        <v>55</v>
      </c>
      <c r="B56" s="2">
        <v>1</v>
      </c>
      <c r="C56" s="2">
        <v>2</v>
      </c>
      <c r="D56" s="2">
        <v>7</v>
      </c>
      <c r="E56" s="2">
        <v>1</v>
      </c>
      <c r="F56" s="2">
        <v>28</v>
      </c>
      <c r="G56" s="2"/>
      <c r="H56" s="2"/>
    </row>
    <row r="57" spans="1:8" x14ac:dyDescent="0.3">
      <c r="A57" s="2">
        <v>56</v>
      </c>
      <c r="B57" s="2">
        <v>1</v>
      </c>
      <c r="C57" s="2">
        <v>2</v>
      </c>
      <c r="D57" s="2">
        <v>7</v>
      </c>
      <c r="E57" s="2">
        <v>2</v>
      </c>
      <c r="F57" s="2">
        <v>25</v>
      </c>
      <c r="G57" s="2"/>
      <c r="H57" s="2"/>
    </row>
    <row r="58" spans="1:8" x14ac:dyDescent="0.3">
      <c r="A58" s="2">
        <v>57</v>
      </c>
      <c r="B58" s="2">
        <v>1</v>
      </c>
      <c r="C58" s="2">
        <v>2</v>
      </c>
      <c r="D58" s="2">
        <v>7</v>
      </c>
      <c r="E58" s="2">
        <v>3</v>
      </c>
      <c r="F58" s="2">
        <v>22</v>
      </c>
      <c r="G58" s="2"/>
      <c r="H58" s="2"/>
    </row>
    <row r="59" spans="1:8" x14ac:dyDescent="0.3">
      <c r="A59" s="2">
        <v>58</v>
      </c>
      <c r="B59" s="2">
        <v>1</v>
      </c>
      <c r="C59" s="2">
        <v>2</v>
      </c>
      <c r="D59" s="2">
        <v>8</v>
      </c>
      <c r="E59" s="2">
        <v>1</v>
      </c>
      <c r="F59" s="2">
        <v>28</v>
      </c>
      <c r="G59" s="2"/>
      <c r="H59" s="2"/>
    </row>
    <row r="60" spans="1:8" x14ac:dyDescent="0.3">
      <c r="A60" s="2">
        <v>59</v>
      </c>
      <c r="B60" s="2">
        <v>1</v>
      </c>
      <c r="C60" s="2">
        <v>2</v>
      </c>
      <c r="D60" s="2">
        <v>8</v>
      </c>
      <c r="E60" s="2">
        <v>2</v>
      </c>
      <c r="F60" s="2">
        <v>25</v>
      </c>
      <c r="G60" s="2"/>
      <c r="H60" s="2"/>
    </row>
    <row r="61" spans="1:8" x14ac:dyDescent="0.3">
      <c r="A61" s="2">
        <v>60</v>
      </c>
      <c r="B61" s="2">
        <v>1</v>
      </c>
      <c r="C61" s="2">
        <v>2</v>
      </c>
      <c r="D61" s="2">
        <v>8</v>
      </c>
      <c r="E61" s="2">
        <v>3</v>
      </c>
      <c r="F61" s="2">
        <v>22</v>
      </c>
      <c r="G61" s="2"/>
      <c r="H61" s="2"/>
    </row>
    <row r="62" spans="1:8" x14ac:dyDescent="0.3">
      <c r="A62" s="2">
        <v>61</v>
      </c>
      <c r="B62" s="2">
        <v>1</v>
      </c>
      <c r="C62" s="2">
        <v>2</v>
      </c>
      <c r="D62" s="2">
        <v>9</v>
      </c>
      <c r="E62" s="2">
        <v>1</v>
      </c>
      <c r="F62" s="2">
        <v>28</v>
      </c>
      <c r="G62" s="2"/>
      <c r="H62" s="2"/>
    </row>
    <row r="63" spans="1:8" x14ac:dyDescent="0.3">
      <c r="A63" s="2">
        <v>62</v>
      </c>
      <c r="B63" s="2">
        <v>1</v>
      </c>
      <c r="C63" s="2">
        <v>2</v>
      </c>
      <c r="D63" s="2">
        <v>9</v>
      </c>
      <c r="E63" s="2">
        <v>2</v>
      </c>
      <c r="F63" s="2">
        <v>25</v>
      </c>
      <c r="G63" s="2"/>
      <c r="H63" s="2"/>
    </row>
    <row r="64" spans="1:8" x14ac:dyDescent="0.3">
      <c r="A64" s="2">
        <v>63</v>
      </c>
      <c r="B64" s="2">
        <v>1</v>
      </c>
      <c r="C64" s="2">
        <v>2</v>
      </c>
      <c r="D64" s="2">
        <v>9</v>
      </c>
      <c r="E64" s="2">
        <v>3</v>
      </c>
      <c r="F64" s="2">
        <v>22</v>
      </c>
      <c r="G64" s="2"/>
      <c r="H64" s="2"/>
    </row>
    <row r="65" spans="1:8" x14ac:dyDescent="0.3">
      <c r="A65" s="2">
        <v>64</v>
      </c>
      <c r="B65" s="2">
        <v>1</v>
      </c>
      <c r="C65" s="2">
        <v>2</v>
      </c>
      <c r="D65" s="2">
        <v>10</v>
      </c>
      <c r="E65" s="2">
        <v>1</v>
      </c>
      <c r="F65" s="2">
        <v>28</v>
      </c>
      <c r="G65" s="2"/>
      <c r="H65" s="2"/>
    </row>
    <row r="66" spans="1:8" x14ac:dyDescent="0.3">
      <c r="A66" s="2">
        <v>65</v>
      </c>
      <c r="B66" s="2">
        <v>1</v>
      </c>
      <c r="C66" s="2">
        <v>2</v>
      </c>
      <c r="D66" s="2">
        <v>10</v>
      </c>
      <c r="E66" s="2">
        <v>2</v>
      </c>
      <c r="F66" s="2">
        <v>25</v>
      </c>
      <c r="G66" s="2"/>
      <c r="H66" s="2"/>
    </row>
    <row r="67" spans="1:8" x14ac:dyDescent="0.3">
      <c r="A67" s="2">
        <v>66</v>
      </c>
      <c r="B67" s="2">
        <v>1</v>
      </c>
      <c r="C67" s="2">
        <v>2</v>
      </c>
      <c r="D67" s="2">
        <v>10</v>
      </c>
      <c r="E67" s="2">
        <v>3</v>
      </c>
      <c r="F67" s="2">
        <v>22</v>
      </c>
      <c r="G67" s="2"/>
      <c r="H67" s="2"/>
    </row>
    <row r="68" spans="1:8" x14ac:dyDescent="0.3">
      <c r="A68" s="2">
        <v>67</v>
      </c>
      <c r="B68" s="2">
        <v>1</v>
      </c>
      <c r="C68" s="2">
        <v>2</v>
      </c>
      <c r="D68" s="2">
        <v>11</v>
      </c>
      <c r="E68" s="2">
        <v>1</v>
      </c>
      <c r="F68" s="2">
        <v>33</v>
      </c>
      <c r="G68" s="2"/>
      <c r="H68" s="2"/>
    </row>
    <row r="69" spans="1:8" x14ac:dyDescent="0.3">
      <c r="A69" s="2">
        <v>68</v>
      </c>
      <c r="B69" s="2">
        <v>1</v>
      </c>
      <c r="C69" s="2">
        <v>2</v>
      </c>
      <c r="D69" s="2">
        <v>11</v>
      </c>
      <c r="E69" s="2">
        <v>2</v>
      </c>
      <c r="F69" s="2">
        <v>30</v>
      </c>
      <c r="G69" s="2"/>
      <c r="H69" s="2"/>
    </row>
    <row r="70" spans="1:8" x14ac:dyDescent="0.3">
      <c r="A70" s="2">
        <v>69</v>
      </c>
      <c r="B70" s="2">
        <v>1</v>
      </c>
      <c r="C70" s="2">
        <v>2</v>
      </c>
      <c r="D70" s="2">
        <v>11</v>
      </c>
      <c r="E70" s="2">
        <v>3</v>
      </c>
      <c r="F70" s="2">
        <v>27</v>
      </c>
      <c r="G70" s="2"/>
      <c r="H70" s="2"/>
    </row>
    <row r="71" spans="1:8" x14ac:dyDescent="0.3">
      <c r="A71" s="2">
        <v>70</v>
      </c>
      <c r="B71" s="2">
        <v>1</v>
      </c>
      <c r="C71" s="2">
        <v>2</v>
      </c>
      <c r="D71" s="2">
        <v>12</v>
      </c>
      <c r="E71" s="2">
        <v>1</v>
      </c>
      <c r="F71" s="2">
        <v>38</v>
      </c>
      <c r="G71" s="2"/>
      <c r="H71" s="2"/>
    </row>
    <row r="72" spans="1:8" x14ac:dyDescent="0.3">
      <c r="A72" s="2">
        <v>71</v>
      </c>
      <c r="B72" s="2">
        <v>1</v>
      </c>
      <c r="C72" s="2">
        <v>2</v>
      </c>
      <c r="D72" s="2">
        <v>12</v>
      </c>
      <c r="E72" s="2">
        <v>2</v>
      </c>
      <c r="F72" s="2">
        <v>35</v>
      </c>
      <c r="G72" s="2"/>
      <c r="H72" s="2"/>
    </row>
    <row r="73" spans="1:8" x14ac:dyDescent="0.3">
      <c r="A73" s="2">
        <v>72</v>
      </c>
      <c r="B73" s="2">
        <v>1</v>
      </c>
      <c r="C73" s="2">
        <v>2</v>
      </c>
      <c r="D73" s="2">
        <v>12</v>
      </c>
      <c r="E73" s="2">
        <v>3</v>
      </c>
      <c r="F73" s="2">
        <v>32</v>
      </c>
      <c r="G73" s="2"/>
      <c r="H73" s="2"/>
    </row>
    <row r="74" spans="1:8" x14ac:dyDescent="0.3">
      <c r="A74" s="2">
        <v>73</v>
      </c>
      <c r="B74" s="2">
        <v>2</v>
      </c>
      <c r="C74" s="2">
        <v>1</v>
      </c>
      <c r="D74" s="2">
        <v>1</v>
      </c>
      <c r="E74" s="2">
        <v>1</v>
      </c>
      <c r="F74" s="2">
        <v>18</v>
      </c>
      <c r="G74" s="2"/>
      <c r="H74" s="2"/>
    </row>
    <row r="75" spans="1:8" x14ac:dyDescent="0.3">
      <c r="A75" s="2">
        <v>74</v>
      </c>
      <c r="B75" s="2">
        <v>2</v>
      </c>
      <c r="C75" s="2">
        <v>1</v>
      </c>
      <c r="D75" s="2">
        <v>1</v>
      </c>
      <c r="E75" s="2">
        <v>2</v>
      </c>
      <c r="F75" s="2">
        <v>18</v>
      </c>
      <c r="G75" s="2"/>
      <c r="H75" s="2"/>
    </row>
    <row r="76" spans="1:8" x14ac:dyDescent="0.3">
      <c r="A76" s="2">
        <v>75</v>
      </c>
      <c r="B76" s="2">
        <v>2</v>
      </c>
      <c r="C76" s="2">
        <v>1</v>
      </c>
      <c r="D76" s="2">
        <v>1</v>
      </c>
      <c r="E76" s="2">
        <v>3</v>
      </c>
      <c r="F76" s="2">
        <v>18</v>
      </c>
      <c r="G76" s="2"/>
      <c r="H76" s="2"/>
    </row>
    <row r="77" spans="1:8" x14ac:dyDescent="0.3">
      <c r="A77" s="2">
        <v>76</v>
      </c>
      <c r="B77" s="2">
        <v>2</v>
      </c>
      <c r="C77" s="2">
        <v>1</v>
      </c>
      <c r="D77" s="2">
        <v>2</v>
      </c>
      <c r="E77" s="2">
        <v>1</v>
      </c>
      <c r="F77" s="2">
        <v>18</v>
      </c>
      <c r="G77" s="2"/>
      <c r="H77" s="2"/>
    </row>
    <row r="78" spans="1:8" x14ac:dyDescent="0.3">
      <c r="A78" s="2">
        <v>77</v>
      </c>
      <c r="B78" s="2">
        <v>2</v>
      </c>
      <c r="C78" s="2">
        <v>1</v>
      </c>
      <c r="D78" s="2">
        <v>2</v>
      </c>
      <c r="E78" s="2">
        <v>2</v>
      </c>
      <c r="F78" s="2">
        <v>18</v>
      </c>
      <c r="G78" s="2"/>
      <c r="H78" s="2"/>
    </row>
    <row r="79" spans="1:8" x14ac:dyDescent="0.3">
      <c r="A79" s="2">
        <v>78</v>
      </c>
      <c r="B79" s="2">
        <v>2</v>
      </c>
      <c r="C79" s="2">
        <v>1</v>
      </c>
      <c r="D79" s="2">
        <v>2</v>
      </c>
      <c r="E79" s="2">
        <v>3</v>
      </c>
      <c r="F79" s="2">
        <v>18</v>
      </c>
      <c r="G79" s="2"/>
      <c r="H79" s="2"/>
    </row>
    <row r="80" spans="1:8" x14ac:dyDescent="0.3">
      <c r="A80" s="2">
        <v>79</v>
      </c>
      <c r="B80" s="2">
        <v>2</v>
      </c>
      <c r="C80" s="2">
        <v>1</v>
      </c>
      <c r="D80" s="2">
        <v>3</v>
      </c>
      <c r="E80" s="2">
        <v>1</v>
      </c>
      <c r="F80" s="2">
        <v>18</v>
      </c>
      <c r="G80" s="2"/>
      <c r="H80" s="2"/>
    </row>
    <row r="81" spans="1:8" x14ac:dyDescent="0.3">
      <c r="A81" s="2">
        <v>80</v>
      </c>
      <c r="B81" s="2">
        <v>2</v>
      </c>
      <c r="C81" s="2">
        <v>1</v>
      </c>
      <c r="D81" s="2">
        <v>3</v>
      </c>
      <c r="E81" s="2">
        <v>2</v>
      </c>
      <c r="F81" s="2">
        <v>18</v>
      </c>
      <c r="G81" s="2"/>
      <c r="H81" s="2"/>
    </row>
    <row r="82" spans="1:8" x14ac:dyDescent="0.3">
      <c r="A82" s="2">
        <v>81</v>
      </c>
      <c r="B82" s="2">
        <v>2</v>
      </c>
      <c r="C82" s="2">
        <v>1</v>
      </c>
      <c r="D82" s="2">
        <v>3</v>
      </c>
      <c r="E82" s="2">
        <v>3</v>
      </c>
      <c r="F82" s="2">
        <v>18</v>
      </c>
      <c r="G82" s="2"/>
      <c r="H82" s="2"/>
    </row>
    <row r="83" spans="1:8" x14ac:dyDescent="0.3">
      <c r="A83" s="2">
        <v>82</v>
      </c>
      <c r="B83" s="2">
        <v>2</v>
      </c>
      <c r="C83" s="2">
        <v>1</v>
      </c>
      <c r="D83" s="2">
        <v>4</v>
      </c>
      <c r="E83" s="2">
        <v>1</v>
      </c>
      <c r="F83" s="2">
        <v>18</v>
      </c>
      <c r="G83" s="2"/>
      <c r="H83" s="2"/>
    </row>
    <row r="84" spans="1:8" x14ac:dyDescent="0.3">
      <c r="A84" s="2">
        <v>83</v>
      </c>
      <c r="B84" s="2">
        <v>2</v>
      </c>
      <c r="C84" s="2">
        <v>1</v>
      </c>
      <c r="D84" s="2">
        <v>4</v>
      </c>
      <c r="E84" s="2">
        <v>2</v>
      </c>
      <c r="F84" s="2">
        <v>18</v>
      </c>
      <c r="G84" s="2"/>
      <c r="H84" s="2"/>
    </row>
    <row r="85" spans="1:8" x14ac:dyDescent="0.3">
      <c r="A85" s="2">
        <v>84</v>
      </c>
      <c r="B85" s="2">
        <v>2</v>
      </c>
      <c r="C85" s="2">
        <v>1</v>
      </c>
      <c r="D85" s="2">
        <v>4</v>
      </c>
      <c r="E85" s="2">
        <v>3</v>
      </c>
      <c r="F85" s="2">
        <v>18</v>
      </c>
      <c r="G85" s="2"/>
      <c r="H85" s="2"/>
    </row>
    <row r="86" spans="1:8" x14ac:dyDescent="0.3">
      <c r="A86" s="2">
        <v>85</v>
      </c>
      <c r="B86" s="2">
        <v>2</v>
      </c>
      <c r="C86" s="2">
        <v>1</v>
      </c>
      <c r="D86" s="2">
        <v>5</v>
      </c>
      <c r="E86" s="2">
        <v>1</v>
      </c>
      <c r="F86" s="2">
        <v>18</v>
      </c>
      <c r="G86" s="2"/>
      <c r="H86" s="2"/>
    </row>
    <row r="87" spans="1:8" x14ac:dyDescent="0.3">
      <c r="A87" s="2">
        <v>86</v>
      </c>
      <c r="B87" s="2">
        <v>2</v>
      </c>
      <c r="C87" s="2">
        <v>1</v>
      </c>
      <c r="D87" s="2">
        <v>5</v>
      </c>
      <c r="E87" s="2">
        <v>2</v>
      </c>
      <c r="F87" s="2">
        <v>18</v>
      </c>
      <c r="G87" s="2"/>
      <c r="H87" s="2"/>
    </row>
    <row r="88" spans="1:8" x14ac:dyDescent="0.3">
      <c r="A88" s="2">
        <v>87</v>
      </c>
      <c r="B88" s="2">
        <v>2</v>
      </c>
      <c r="C88" s="2">
        <v>1</v>
      </c>
      <c r="D88" s="2">
        <v>5</v>
      </c>
      <c r="E88" s="2">
        <v>3</v>
      </c>
      <c r="F88" s="2">
        <v>18</v>
      </c>
      <c r="G88" s="2"/>
      <c r="H88" s="2"/>
    </row>
    <row r="89" spans="1:8" x14ac:dyDescent="0.3">
      <c r="A89" s="2">
        <v>88</v>
      </c>
      <c r="B89" s="2">
        <v>2</v>
      </c>
      <c r="C89" s="2">
        <v>1</v>
      </c>
      <c r="D89" s="2">
        <v>6</v>
      </c>
      <c r="E89" s="2">
        <v>1</v>
      </c>
      <c r="F89" s="2">
        <v>18</v>
      </c>
      <c r="G89" s="2"/>
      <c r="H89" s="2"/>
    </row>
    <row r="90" spans="1:8" x14ac:dyDescent="0.3">
      <c r="A90" s="2">
        <v>89</v>
      </c>
      <c r="B90" s="2">
        <v>2</v>
      </c>
      <c r="C90" s="2">
        <v>1</v>
      </c>
      <c r="D90" s="2">
        <v>6</v>
      </c>
      <c r="E90" s="2">
        <v>2</v>
      </c>
      <c r="F90" s="2">
        <v>18</v>
      </c>
      <c r="G90" s="2"/>
      <c r="H90" s="2"/>
    </row>
    <row r="91" spans="1:8" x14ac:dyDescent="0.3">
      <c r="A91" s="2">
        <v>90</v>
      </c>
      <c r="B91" s="2">
        <v>2</v>
      </c>
      <c r="C91" s="2">
        <v>1</v>
      </c>
      <c r="D91" s="2">
        <v>6</v>
      </c>
      <c r="E91" s="2">
        <v>3</v>
      </c>
      <c r="F91" s="2">
        <v>18</v>
      </c>
      <c r="G91" s="2"/>
      <c r="H91" s="2"/>
    </row>
    <row r="92" spans="1:8" x14ac:dyDescent="0.3">
      <c r="A92" s="2">
        <v>91</v>
      </c>
      <c r="B92" s="2">
        <v>2</v>
      </c>
      <c r="C92" s="2">
        <v>1</v>
      </c>
      <c r="D92" s="2">
        <v>7</v>
      </c>
      <c r="E92" s="2">
        <v>1</v>
      </c>
      <c r="F92" s="2">
        <v>22</v>
      </c>
      <c r="G92" s="2"/>
      <c r="H92" s="2"/>
    </row>
    <row r="93" spans="1:8" x14ac:dyDescent="0.3">
      <c r="A93" s="2">
        <v>92</v>
      </c>
      <c r="B93" s="2">
        <v>2</v>
      </c>
      <c r="C93" s="2">
        <v>1</v>
      </c>
      <c r="D93" s="2">
        <v>7</v>
      </c>
      <c r="E93" s="2">
        <v>2</v>
      </c>
      <c r="F93" s="2">
        <v>22</v>
      </c>
      <c r="G93" s="2"/>
      <c r="H93" s="2"/>
    </row>
    <row r="94" spans="1:8" x14ac:dyDescent="0.3">
      <c r="A94" s="2">
        <v>93</v>
      </c>
      <c r="B94" s="2">
        <v>2</v>
      </c>
      <c r="C94" s="2">
        <v>1</v>
      </c>
      <c r="D94" s="2">
        <v>7</v>
      </c>
      <c r="E94" s="2">
        <v>3</v>
      </c>
      <c r="F94" s="2">
        <v>22</v>
      </c>
      <c r="G94" s="2"/>
      <c r="H94" s="2"/>
    </row>
    <row r="95" spans="1:8" x14ac:dyDescent="0.3">
      <c r="A95" s="2">
        <v>94</v>
      </c>
      <c r="B95" s="2">
        <v>2</v>
      </c>
      <c r="C95" s="2">
        <v>1</v>
      </c>
      <c r="D95" s="2">
        <v>8</v>
      </c>
      <c r="E95" s="2">
        <v>1</v>
      </c>
      <c r="F95" s="2">
        <v>22</v>
      </c>
      <c r="G95" s="2"/>
      <c r="H95" s="2"/>
    </row>
    <row r="96" spans="1:8" x14ac:dyDescent="0.3">
      <c r="A96" s="2">
        <v>95</v>
      </c>
      <c r="B96" s="2">
        <v>2</v>
      </c>
      <c r="C96" s="2">
        <v>1</v>
      </c>
      <c r="D96" s="2">
        <v>8</v>
      </c>
      <c r="E96" s="2">
        <v>2</v>
      </c>
      <c r="F96" s="2">
        <v>22</v>
      </c>
      <c r="G96" s="2"/>
      <c r="H96" s="2"/>
    </row>
    <row r="97" spans="1:8" x14ac:dyDescent="0.3">
      <c r="A97" s="2">
        <v>96</v>
      </c>
      <c r="B97" s="2">
        <v>2</v>
      </c>
      <c r="C97" s="2">
        <v>1</v>
      </c>
      <c r="D97" s="2">
        <v>8</v>
      </c>
      <c r="E97" s="2">
        <v>3</v>
      </c>
      <c r="F97" s="2">
        <v>22</v>
      </c>
      <c r="G97" s="2"/>
      <c r="H97" s="2"/>
    </row>
    <row r="98" spans="1:8" x14ac:dyDescent="0.3">
      <c r="A98" s="2">
        <v>97</v>
      </c>
      <c r="B98" s="2">
        <v>2</v>
      </c>
      <c r="C98" s="2">
        <v>1</v>
      </c>
      <c r="D98" s="2">
        <v>9</v>
      </c>
      <c r="E98" s="2">
        <v>1</v>
      </c>
      <c r="F98" s="2">
        <v>22</v>
      </c>
      <c r="G98" s="2"/>
      <c r="H98" s="2"/>
    </row>
    <row r="99" spans="1:8" x14ac:dyDescent="0.3">
      <c r="A99" s="2">
        <v>98</v>
      </c>
      <c r="B99" s="2">
        <v>2</v>
      </c>
      <c r="C99" s="2">
        <v>1</v>
      </c>
      <c r="D99" s="2">
        <v>9</v>
      </c>
      <c r="E99" s="2">
        <v>2</v>
      </c>
      <c r="F99" s="2">
        <v>22</v>
      </c>
      <c r="G99" s="2"/>
      <c r="H99" s="2"/>
    </row>
    <row r="100" spans="1:8" x14ac:dyDescent="0.3">
      <c r="A100" s="2">
        <v>99</v>
      </c>
      <c r="B100" s="2">
        <v>2</v>
      </c>
      <c r="C100" s="2">
        <v>1</v>
      </c>
      <c r="D100" s="2">
        <v>9</v>
      </c>
      <c r="E100" s="2">
        <v>3</v>
      </c>
      <c r="F100" s="2">
        <v>22</v>
      </c>
      <c r="G100" s="2"/>
      <c r="H100" s="2"/>
    </row>
    <row r="101" spans="1:8" x14ac:dyDescent="0.3">
      <c r="A101" s="2">
        <v>100</v>
      </c>
      <c r="B101" s="2">
        <v>2</v>
      </c>
      <c r="C101" s="2">
        <v>1</v>
      </c>
      <c r="D101" s="2">
        <v>10</v>
      </c>
      <c r="E101" s="2">
        <v>1</v>
      </c>
      <c r="F101" s="2">
        <v>22</v>
      </c>
      <c r="G101" s="2"/>
      <c r="H101" s="2"/>
    </row>
    <row r="102" spans="1:8" x14ac:dyDescent="0.3">
      <c r="A102" s="2">
        <v>101</v>
      </c>
      <c r="B102" s="2">
        <v>2</v>
      </c>
      <c r="C102" s="2">
        <v>1</v>
      </c>
      <c r="D102" s="2">
        <v>10</v>
      </c>
      <c r="E102" s="2">
        <v>2</v>
      </c>
      <c r="F102" s="2">
        <v>22</v>
      </c>
      <c r="G102" s="2"/>
      <c r="H102" s="2"/>
    </row>
    <row r="103" spans="1:8" x14ac:dyDescent="0.3">
      <c r="A103" s="2">
        <v>102</v>
      </c>
      <c r="B103" s="2">
        <v>2</v>
      </c>
      <c r="C103" s="2">
        <v>1</v>
      </c>
      <c r="D103" s="2">
        <v>10</v>
      </c>
      <c r="E103" s="2">
        <v>3</v>
      </c>
      <c r="F103" s="2">
        <v>22</v>
      </c>
      <c r="G103" s="2"/>
      <c r="H103" s="2"/>
    </row>
    <row r="104" spans="1:8" x14ac:dyDescent="0.3">
      <c r="A104" s="2">
        <v>103</v>
      </c>
      <c r="B104" s="2">
        <v>2</v>
      </c>
      <c r="C104" s="2">
        <v>1</v>
      </c>
      <c r="D104" s="2">
        <v>11</v>
      </c>
      <c r="E104" s="2">
        <v>1</v>
      </c>
      <c r="F104" s="2">
        <v>27</v>
      </c>
      <c r="G104" s="2"/>
      <c r="H104" s="2"/>
    </row>
    <row r="105" spans="1:8" x14ac:dyDescent="0.3">
      <c r="A105" s="2">
        <v>104</v>
      </c>
      <c r="B105" s="2">
        <v>2</v>
      </c>
      <c r="C105" s="2">
        <v>1</v>
      </c>
      <c r="D105" s="2">
        <v>11</v>
      </c>
      <c r="E105" s="2">
        <v>2</v>
      </c>
      <c r="F105" s="2">
        <v>27</v>
      </c>
      <c r="G105" s="2"/>
      <c r="H105" s="2"/>
    </row>
    <row r="106" spans="1:8" x14ac:dyDescent="0.3">
      <c r="A106" s="2">
        <v>105</v>
      </c>
      <c r="B106" s="2">
        <v>2</v>
      </c>
      <c r="C106" s="2">
        <v>1</v>
      </c>
      <c r="D106" s="2">
        <v>11</v>
      </c>
      <c r="E106" s="2">
        <v>3</v>
      </c>
      <c r="F106" s="2">
        <v>27</v>
      </c>
      <c r="G106" s="2"/>
      <c r="H106" s="2"/>
    </row>
    <row r="107" spans="1:8" x14ac:dyDescent="0.3">
      <c r="A107" s="2">
        <v>106</v>
      </c>
      <c r="B107" s="2">
        <v>2</v>
      </c>
      <c r="C107" s="2">
        <v>1</v>
      </c>
      <c r="D107" s="2">
        <v>12</v>
      </c>
      <c r="E107" s="2">
        <v>1</v>
      </c>
      <c r="F107" s="2">
        <v>30</v>
      </c>
      <c r="G107" s="2"/>
      <c r="H107" s="2"/>
    </row>
    <row r="108" spans="1:8" x14ac:dyDescent="0.3">
      <c r="A108" s="2">
        <v>107</v>
      </c>
      <c r="B108" s="2">
        <v>2</v>
      </c>
      <c r="C108" s="2">
        <v>1</v>
      </c>
      <c r="D108" s="2">
        <v>12</v>
      </c>
      <c r="E108" s="2">
        <v>2</v>
      </c>
      <c r="F108" s="2">
        <v>30</v>
      </c>
      <c r="G108" s="2"/>
      <c r="H108" s="2"/>
    </row>
    <row r="109" spans="1:8" x14ac:dyDescent="0.3">
      <c r="A109" s="2">
        <v>108</v>
      </c>
      <c r="B109" s="2">
        <v>2</v>
      </c>
      <c r="C109" s="2">
        <v>1</v>
      </c>
      <c r="D109" s="2">
        <v>12</v>
      </c>
      <c r="E109" s="2">
        <v>3</v>
      </c>
      <c r="F109" s="2">
        <v>30</v>
      </c>
      <c r="G109" s="2"/>
      <c r="H109" s="2"/>
    </row>
    <row r="110" spans="1:8" x14ac:dyDescent="0.3">
      <c r="A110" s="2">
        <v>109</v>
      </c>
      <c r="B110" s="2">
        <v>2</v>
      </c>
      <c r="C110" s="2">
        <v>2</v>
      </c>
      <c r="D110" s="2">
        <v>1</v>
      </c>
      <c r="E110" s="2">
        <v>1</v>
      </c>
      <c r="F110" s="2">
        <v>15</v>
      </c>
      <c r="G110" s="2"/>
      <c r="H110" s="2"/>
    </row>
    <row r="111" spans="1:8" x14ac:dyDescent="0.3">
      <c r="A111" s="2">
        <v>110</v>
      </c>
      <c r="B111" s="2">
        <v>2</v>
      </c>
      <c r="C111" s="2">
        <v>2</v>
      </c>
      <c r="D111" s="2">
        <v>1</v>
      </c>
      <c r="E111" s="2">
        <v>2</v>
      </c>
      <c r="F111" s="2">
        <v>15</v>
      </c>
      <c r="G111" s="2"/>
      <c r="H111" s="2"/>
    </row>
    <row r="112" spans="1:8" x14ac:dyDescent="0.3">
      <c r="A112" s="2">
        <v>111</v>
      </c>
      <c r="B112" s="2">
        <v>2</v>
      </c>
      <c r="C112" s="2">
        <v>2</v>
      </c>
      <c r="D112" s="2">
        <v>1</v>
      </c>
      <c r="E112" s="2">
        <v>3</v>
      </c>
      <c r="F112" s="2">
        <v>15</v>
      </c>
      <c r="G112" s="2"/>
      <c r="H112" s="2"/>
    </row>
    <row r="113" spans="1:8" x14ac:dyDescent="0.3">
      <c r="A113" s="2">
        <v>112</v>
      </c>
      <c r="B113" s="2">
        <v>2</v>
      </c>
      <c r="C113" s="2">
        <v>2</v>
      </c>
      <c r="D113" s="2">
        <v>2</v>
      </c>
      <c r="E113" s="2">
        <v>1</v>
      </c>
      <c r="F113" s="2">
        <v>15</v>
      </c>
      <c r="G113" s="2"/>
      <c r="H113" s="2"/>
    </row>
    <row r="114" spans="1:8" x14ac:dyDescent="0.3">
      <c r="A114" s="2">
        <v>113</v>
      </c>
      <c r="B114" s="2">
        <v>2</v>
      </c>
      <c r="C114" s="2">
        <v>2</v>
      </c>
      <c r="D114" s="2">
        <v>2</v>
      </c>
      <c r="E114" s="2">
        <v>2</v>
      </c>
      <c r="F114" s="2">
        <v>15</v>
      </c>
      <c r="G114" s="2"/>
      <c r="H114" s="2"/>
    </row>
    <row r="115" spans="1:8" x14ac:dyDescent="0.3">
      <c r="A115" s="2">
        <v>114</v>
      </c>
      <c r="B115" s="2">
        <v>2</v>
      </c>
      <c r="C115" s="2">
        <v>2</v>
      </c>
      <c r="D115" s="2">
        <v>2</v>
      </c>
      <c r="E115" s="2">
        <v>3</v>
      </c>
      <c r="F115" s="2">
        <v>15</v>
      </c>
      <c r="G115" s="2"/>
      <c r="H115" s="2"/>
    </row>
    <row r="116" spans="1:8" x14ac:dyDescent="0.3">
      <c r="A116" s="2">
        <v>115</v>
      </c>
      <c r="B116" s="2">
        <v>2</v>
      </c>
      <c r="C116" s="2">
        <v>2</v>
      </c>
      <c r="D116" s="2">
        <v>3</v>
      </c>
      <c r="E116" s="2">
        <v>1</v>
      </c>
      <c r="F116" s="2">
        <v>15</v>
      </c>
      <c r="G116" s="2"/>
      <c r="H116" s="2"/>
    </row>
    <row r="117" spans="1:8" x14ac:dyDescent="0.3">
      <c r="A117" s="2">
        <v>116</v>
      </c>
      <c r="B117" s="2">
        <v>2</v>
      </c>
      <c r="C117" s="2">
        <v>2</v>
      </c>
      <c r="D117" s="2">
        <v>3</v>
      </c>
      <c r="E117" s="2">
        <v>2</v>
      </c>
      <c r="F117" s="2">
        <v>15</v>
      </c>
      <c r="G117" s="2"/>
      <c r="H117" s="2"/>
    </row>
    <row r="118" spans="1:8" x14ac:dyDescent="0.3">
      <c r="A118" s="2">
        <v>117</v>
      </c>
      <c r="B118" s="2">
        <v>2</v>
      </c>
      <c r="C118" s="2">
        <v>2</v>
      </c>
      <c r="D118" s="2">
        <v>3</v>
      </c>
      <c r="E118" s="2">
        <v>3</v>
      </c>
      <c r="F118" s="2">
        <v>15</v>
      </c>
      <c r="G118" s="2"/>
      <c r="H118" s="2"/>
    </row>
    <row r="119" spans="1:8" x14ac:dyDescent="0.3">
      <c r="A119" s="2">
        <v>118</v>
      </c>
      <c r="B119" s="2">
        <v>2</v>
      </c>
      <c r="C119" s="2">
        <v>2</v>
      </c>
      <c r="D119" s="2">
        <v>4</v>
      </c>
      <c r="E119" s="2">
        <v>1</v>
      </c>
      <c r="F119" s="2">
        <v>15</v>
      </c>
      <c r="G119" s="2"/>
      <c r="H119" s="2"/>
    </row>
    <row r="120" spans="1:8" x14ac:dyDescent="0.3">
      <c r="A120" s="2">
        <v>119</v>
      </c>
      <c r="B120" s="2">
        <v>2</v>
      </c>
      <c r="C120" s="2">
        <v>2</v>
      </c>
      <c r="D120" s="2">
        <v>4</v>
      </c>
      <c r="E120" s="2">
        <v>2</v>
      </c>
      <c r="F120" s="2">
        <v>15</v>
      </c>
      <c r="G120" s="2"/>
      <c r="H120" s="2"/>
    </row>
    <row r="121" spans="1:8" x14ac:dyDescent="0.3">
      <c r="A121" s="2">
        <v>120</v>
      </c>
      <c r="B121" s="2">
        <v>2</v>
      </c>
      <c r="C121" s="2">
        <v>2</v>
      </c>
      <c r="D121" s="2">
        <v>4</v>
      </c>
      <c r="E121" s="2">
        <v>3</v>
      </c>
      <c r="F121" s="2">
        <v>15</v>
      </c>
      <c r="G121" s="2"/>
      <c r="H121" s="2"/>
    </row>
    <row r="122" spans="1:8" x14ac:dyDescent="0.3">
      <c r="A122" s="2">
        <v>121</v>
      </c>
      <c r="B122" s="2">
        <v>2</v>
      </c>
      <c r="C122" s="2">
        <v>2</v>
      </c>
      <c r="D122" s="2">
        <v>5</v>
      </c>
      <c r="E122" s="2">
        <v>1</v>
      </c>
      <c r="F122" s="2">
        <v>15</v>
      </c>
      <c r="G122" s="2"/>
      <c r="H122" s="2"/>
    </row>
    <row r="123" spans="1:8" x14ac:dyDescent="0.3">
      <c r="A123" s="2">
        <v>122</v>
      </c>
      <c r="B123" s="2">
        <v>2</v>
      </c>
      <c r="C123" s="2">
        <v>2</v>
      </c>
      <c r="D123" s="2">
        <v>5</v>
      </c>
      <c r="E123" s="2">
        <v>2</v>
      </c>
      <c r="F123" s="2">
        <v>15</v>
      </c>
      <c r="G123" s="2"/>
      <c r="H123" s="2"/>
    </row>
    <row r="124" spans="1:8" x14ac:dyDescent="0.3">
      <c r="A124" s="2">
        <v>123</v>
      </c>
      <c r="B124" s="2">
        <v>2</v>
      </c>
      <c r="C124" s="2">
        <v>2</v>
      </c>
      <c r="D124" s="2">
        <v>5</v>
      </c>
      <c r="E124" s="2">
        <v>3</v>
      </c>
      <c r="F124" s="2">
        <v>15</v>
      </c>
      <c r="G124" s="2"/>
      <c r="H124" s="2"/>
    </row>
    <row r="125" spans="1:8" x14ac:dyDescent="0.3">
      <c r="A125" s="2">
        <v>124</v>
      </c>
      <c r="B125" s="2">
        <v>2</v>
      </c>
      <c r="C125" s="2">
        <v>2</v>
      </c>
      <c r="D125" s="2">
        <v>6</v>
      </c>
      <c r="E125" s="2">
        <v>1</v>
      </c>
      <c r="F125" s="2">
        <v>15</v>
      </c>
      <c r="G125" s="2"/>
      <c r="H125" s="2"/>
    </row>
    <row r="126" spans="1:8" x14ac:dyDescent="0.3">
      <c r="A126" s="2">
        <v>125</v>
      </c>
      <c r="B126" s="2">
        <v>2</v>
      </c>
      <c r="C126" s="2">
        <v>2</v>
      </c>
      <c r="D126" s="2">
        <v>6</v>
      </c>
      <c r="E126" s="2">
        <v>2</v>
      </c>
      <c r="F126" s="2">
        <v>15</v>
      </c>
      <c r="G126" s="2"/>
      <c r="H126" s="2"/>
    </row>
    <row r="127" spans="1:8" x14ac:dyDescent="0.3">
      <c r="A127" s="2">
        <v>126</v>
      </c>
      <c r="B127" s="2">
        <v>2</v>
      </c>
      <c r="C127" s="2">
        <v>2</v>
      </c>
      <c r="D127" s="2">
        <v>6</v>
      </c>
      <c r="E127" s="2">
        <v>3</v>
      </c>
      <c r="F127" s="2">
        <v>15</v>
      </c>
      <c r="G127" s="2"/>
      <c r="H127" s="2"/>
    </row>
    <row r="128" spans="1:8" x14ac:dyDescent="0.3">
      <c r="A128" s="2">
        <v>127</v>
      </c>
      <c r="B128" s="2">
        <v>2</v>
      </c>
      <c r="C128" s="2">
        <v>2</v>
      </c>
      <c r="D128" s="2">
        <v>7</v>
      </c>
      <c r="E128" s="2">
        <v>1</v>
      </c>
      <c r="F128" s="2">
        <v>18</v>
      </c>
      <c r="G128" s="2"/>
      <c r="H128" s="2"/>
    </row>
    <row r="129" spans="1:8" x14ac:dyDescent="0.3">
      <c r="A129" s="2">
        <v>128</v>
      </c>
      <c r="B129" s="2">
        <v>2</v>
      </c>
      <c r="C129" s="2">
        <v>2</v>
      </c>
      <c r="D129" s="2">
        <v>7</v>
      </c>
      <c r="E129" s="2">
        <v>2</v>
      </c>
      <c r="F129" s="2">
        <v>18</v>
      </c>
      <c r="G129" s="2"/>
      <c r="H129" s="2"/>
    </row>
    <row r="130" spans="1:8" x14ac:dyDescent="0.3">
      <c r="A130" s="2">
        <v>129</v>
      </c>
      <c r="B130" s="2">
        <v>2</v>
      </c>
      <c r="C130" s="2">
        <v>2</v>
      </c>
      <c r="D130" s="2">
        <v>7</v>
      </c>
      <c r="E130" s="2">
        <v>3</v>
      </c>
      <c r="F130" s="2">
        <v>18</v>
      </c>
      <c r="G130" s="2"/>
      <c r="H130" s="2"/>
    </row>
    <row r="131" spans="1:8" x14ac:dyDescent="0.3">
      <c r="A131" s="2">
        <v>130</v>
      </c>
      <c r="B131" s="2">
        <v>2</v>
      </c>
      <c r="C131" s="2">
        <v>2</v>
      </c>
      <c r="D131" s="2">
        <v>8</v>
      </c>
      <c r="E131" s="2">
        <v>1</v>
      </c>
      <c r="F131" s="2">
        <v>18</v>
      </c>
      <c r="G131" s="2"/>
      <c r="H131" s="2"/>
    </row>
    <row r="132" spans="1:8" x14ac:dyDescent="0.3">
      <c r="A132" s="2">
        <v>131</v>
      </c>
      <c r="B132" s="2">
        <v>2</v>
      </c>
      <c r="C132" s="2">
        <v>2</v>
      </c>
      <c r="D132" s="2">
        <v>8</v>
      </c>
      <c r="E132" s="2">
        <v>2</v>
      </c>
      <c r="F132" s="2">
        <v>18</v>
      </c>
      <c r="G132" s="2"/>
      <c r="H132" s="2"/>
    </row>
    <row r="133" spans="1:8" x14ac:dyDescent="0.3">
      <c r="A133" s="2">
        <v>132</v>
      </c>
      <c r="B133" s="2">
        <v>2</v>
      </c>
      <c r="C133" s="2">
        <v>2</v>
      </c>
      <c r="D133" s="2">
        <v>8</v>
      </c>
      <c r="E133" s="2">
        <v>3</v>
      </c>
      <c r="F133" s="2">
        <v>18</v>
      </c>
      <c r="G133" s="2"/>
      <c r="H133" s="2"/>
    </row>
    <row r="134" spans="1:8" x14ac:dyDescent="0.3">
      <c r="A134" s="2">
        <v>133</v>
      </c>
      <c r="B134" s="2">
        <v>2</v>
      </c>
      <c r="C134" s="2">
        <v>2</v>
      </c>
      <c r="D134" s="2">
        <v>9</v>
      </c>
      <c r="E134" s="2">
        <v>1</v>
      </c>
      <c r="F134" s="2">
        <v>18</v>
      </c>
      <c r="G134" s="2"/>
      <c r="H134" s="2"/>
    </row>
    <row r="135" spans="1:8" x14ac:dyDescent="0.3">
      <c r="A135" s="2">
        <v>134</v>
      </c>
      <c r="B135" s="2">
        <v>2</v>
      </c>
      <c r="C135" s="2">
        <v>2</v>
      </c>
      <c r="D135" s="2">
        <v>9</v>
      </c>
      <c r="E135" s="2">
        <v>2</v>
      </c>
      <c r="F135" s="2">
        <v>18</v>
      </c>
      <c r="G135" s="2"/>
      <c r="H135" s="2"/>
    </row>
    <row r="136" spans="1:8" x14ac:dyDescent="0.3">
      <c r="A136" s="2">
        <v>135</v>
      </c>
      <c r="B136" s="2">
        <v>2</v>
      </c>
      <c r="C136" s="2">
        <v>2</v>
      </c>
      <c r="D136" s="2">
        <v>9</v>
      </c>
      <c r="E136" s="2">
        <v>3</v>
      </c>
      <c r="F136" s="2">
        <v>18</v>
      </c>
      <c r="G136" s="2"/>
      <c r="H136" s="2"/>
    </row>
    <row r="137" spans="1:8" x14ac:dyDescent="0.3">
      <c r="A137" s="2">
        <v>136</v>
      </c>
      <c r="B137" s="2">
        <v>2</v>
      </c>
      <c r="C137" s="2">
        <v>2</v>
      </c>
      <c r="D137" s="2">
        <v>10</v>
      </c>
      <c r="E137" s="2">
        <v>1</v>
      </c>
      <c r="F137" s="2">
        <v>18</v>
      </c>
      <c r="G137" s="2"/>
      <c r="H137" s="2"/>
    </row>
    <row r="138" spans="1:8" x14ac:dyDescent="0.3">
      <c r="A138" s="2">
        <v>137</v>
      </c>
      <c r="B138" s="2">
        <v>2</v>
      </c>
      <c r="C138" s="2">
        <v>2</v>
      </c>
      <c r="D138" s="2">
        <v>10</v>
      </c>
      <c r="E138" s="2">
        <v>2</v>
      </c>
      <c r="F138" s="2">
        <v>18</v>
      </c>
      <c r="G138" s="2"/>
      <c r="H138" s="2"/>
    </row>
    <row r="139" spans="1:8" x14ac:dyDescent="0.3">
      <c r="A139" s="2">
        <v>138</v>
      </c>
      <c r="B139" s="2">
        <v>2</v>
      </c>
      <c r="C139" s="2">
        <v>2</v>
      </c>
      <c r="D139" s="2">
        <v>10</v>
      </c>
      <c r="E139" s="2">
        <v>3</v>
      </c>
      <c r="F139" s="2">
        <v>18</v>
      </c>
      <c r="G139" s="2"/>
      <c r="H139" s="2"/>
    </row>
    <row r="140" spans="1:8" x14ac:dyDescent="0.3">
      <c r="A140" s="2">
        <v>139</v>
      </c>
      <c r="B140" s="2">
        <v>2</v>
      </c>
      <c r="C140" s="2">
        <v>2</v>
      </c>
      <c r="D140" s="2">
        <v>11</v>
      </c>
      <c r="E140" s="2">
        <v>1</v>
      </c>
      <c r="F140" s="2">
        <v>23</v>
      </c>
      <c r="G140" s="2"/>
      <c r="H140" s="2"/>
    </row>
    <row r="141" spans="1:8" x14ac:dyDescent="0.3">
      <c r="A141" s="2">
        <v>140</v>
      </c>
      <c r="B141" s="2">
        <v>2</v>
      </c>
      <c r="C141" s="2">
        <v>2</v>
      </c>
      <c r="D141" s="2">
        <v>11</v>
      </c>
      <c r="E141" s="2">
        <v>2</v>
      </c>
      <c r="F141" s="2">
        <v>23</v>
      </c>
      <c r="G141" s="2"/>
      <c r="H141" s="2"/>
    </row>
    <row r="142" spans="1:8" x14ac:dyDescent="0.3">
      <c r="A142" s="2">
        <v>141</v>
      </c>
      <c r="B142" s="2">
        <v>2</v>
      </c>
      <c r="C142" s="2">
        <v>2</v>
      </c>
      <c r="D142" s="2">
        <v>11</v>
      </c>
      <c r="E142" s="2">
        <v>3</v>
      </c>
      <c r="F142" s="2">
        <v>23</v>
      </c>
      <c r="G142" s="2"/>
      <c r="H142" s="2"/>
    </row>
    <row r="143" spans="1:8" x14ac:dyDescent="0.3">
      <c r="A143" s="2">
        <v>142</v>
      </c>
      <c r="B143" s="2">
        <v>2</v>
      </c>
      <c r="C143" s="2">
        <v>2</v>
      </c>
      <c r="D143" s="2">
        <v>12</v>
      </c>
      <c r="E143" s="2">
        <v>1</v>
      </c>
      <c r="F143" s="2">
        <v>26</v>
      </c>
      <c r="G143" s="2"/>
      <c r="H143" s="2"/>
    </row>
    <row r="144" spans="1:8" x14ac:dyDescent="0.3">
      <c r="A144" s="2">
        <v>143</v>
      </c>
      <c r="B144" s="2">
        <v>2</v>
      </c>
      <c r="C144" s="2">
        <v>2</v>
      </c>
      <c r="D144" s="2">
        <v>12</v>
      </c>
      <c r="E144" s="2">
        <v>2</v>
      </c>
      <c r="F144" s="2">
        <v>26</v>
      </c>
      <c r="G144" s="2"/>
      <c r="H144" s="2"/>
    </row>
    <row r="145" spans="1:8" x14ac:dyDescent="0.3">
      <c r="A145" s="2">
        <v>144</v>
      </c>
      <c r="B145" s="2">
        <v>2</v>
      </c>
      <c r="C145" s="2">
        <v>2</v>
      </c>
      <c r="D145" s="2">
        <v>12</v>
      </c>
      <c r="E145" s="2">
        <v>3</v>
      </c>
      <c r="F145" s="2">
        <v>26</v>
      </c>
      <c r="G145" s="2"/>
      <c r="H145" s="2"/>
    </row>
    <row r="146" spans="1:8" x14ac:dyDescent="0.3">
      <c r="A146" s="2">
        <v>145</v>
      </c>
      <c r="B146" s="2">
        <v>3</v>
      </c>
      <c r="C146" s="2">
        <v>1</v>
      </c>
      <c r="D146" s="2">
        <v>1</v>
      </c>
      <c r="E146" s="2">
        <v>1</v>
      </c>
      <c r="F146" s="2">
        <v>33</v>
      </c>
      <c r="G146" s="2"/>
      <c r="H146" s="2"/>
    </row>
    <row r="147" spans="1:8" x14ac:dyDescent="0.3">
      <c r="A147" s="2">
        <v>146</v>
      </c>
      <c r="B147" s="2">
        <v>3</v>
      </c>
      <c r="C147" s="2">
        <v>1</v>
      </c>
      <c r="D147" s="2">
        <v>1</v>
      </c>
      <c r="E147" s="2">
        <v>2</v>
      </c>
      <c r="F147" s="2">
        <v>22</v>
      </c>
      <c r="G147" s="2"/>
      <c r="H147" s="2"/>
    </row>
    <row r="148" spans="1:8" x14ac:dyDescent="0.3">
      <c r="A148" s="2">
        <v>147</v>
      </c>
      <c r="B148" s="2">
        <v>3</v>
      </c>
      <c r="C148" s="2">
        <v>1</v>
      </c>
      <c r="D148" s="2">
        <v>1</v>
      </c>
      <c r="E148" s="2">
        <v>3</v>
      </c>
      <c r="F148" s="2">
        <v>18</v>
      </c>
      <c r="G148" s="2"/>
      <c r="H148" s="2"/>
    </row>
    <row r="149" spans="1:8" x14ac:dyDescent="0.3">
      <c r="A149" s="2">
        <v>148</v>
      </c>
      <c r="B149" s="2">
        <v>3</v>
      </c>
      <c r="C149" s="2">
        <v>1</v>
      </c>
      <c r="D149" s="2">
        <v>2</v>
      </c>
      <c r="E149" s="2">
        <v>1</v>
      </c>
      <c r="F149" s="2">
        <v>33</v>
      </c>
      <c r="G149" s="2"/>
      <c r="H149" s="2"/>
    </row>
    <row r="150" spans="1:8" x14ac:dyDescent="0.3">
      <c r="A150" s="2">
        <v>149</v>
      </c>
      <c r="B150" s="2">
        <v>3</v>
      </c>
      <c r="C150" s="2">
        <v>1</v>
      </c>
      <c r="D150" s="2">
        <v>2</v>
      </c>
      <c r="E150" s="2">
        <v>2</v>
      </c>
      <c r="F150" s="2">
        <v>22</v>
      </c>
      <c r="G150" s="2"/>
      <c r="H150" s="2"/>
    </row>
    <row r="151" spans="1:8" x14ac:dyDescent="0.3">
      <c r="A151" s="2">
        <v>150</v>
      </c>
      <c r="B151" s="2">
        <v>3</v>
      </c>
      <c r="C151" s="2">
        <v>1</v>
      </c>
      <c r="D151" s="2">
        <v>2</v>
      </c>
      <c r="E151" s="2">
        <v>3</v>
      </c>
      <c r="F151" s="2">
        <v>18</v>
      </c>
      <c r="G151" s="2"/>
      <c r="H151" s="2"/>
    </row>
    <row r="152" spans="1:8" x14ac:dyDescent="0.3">
      <c r="A152" s="2">
        <v>151</v>
      </c>
      <c r="B152" s="2">
        <v>3</v>
      </c>
      <c r="C152" s="2">
        <v>1</v>
      </c>
      <c r="D152" s="2">
        <v>3</v>
      </c>
      <c r="E152" s="2">
        <v>1</v>
      </c>
      <c r="F152" s="2">
        <v>33</v>
      </c>
      <c r="G152" s="2"/>
      <c r="H152" s="2"/>
    </row>
    <row r="153" spans="1:8" x14ac:dyDescent="0.3">
      <c r="A153" s="2">
        <v>152</v>
      </c>
      <c r="B153" s="2">
        <v>3</v>
      </c>
      <c r="C153" s="2">
        <v>1</v>
      </c>
      <c r="D153" s="2">
        <v>3</v>
      </c>
      <c r="E153" s="2">
        <v>2</v>
      </c>
      <c r="F153" s="2">
        <v>22</v>
      </c>
      <c r="G153" s="2"/>
      <c r="H153" s="2"/>
    </row>
    <row r="154" spans="1:8" x14ac:dyDescent="0.3">
      <c r="A154" s="2">
        <v>153</v>
      </c>
      <c r="B154" s="2">
        <v>3</v>
      </c>
      <c r="C154" s="2">
        <v>1</v>
      </c>
      <c r="D154" s="2">
        <v>3</v>
      </c>
      <c r="E154" s="2">
        <v>3</v>
      </c>
      <c r="F154" s="2">
        <v>18</v>
      </c>
      <c r="G154" s="2"/>
      <c r="H154" s="2"/>
    </row>
    <row r="155" spans="1:8" x14ac:dyDescent="0.3">
      <c r="A155" s="2">
        <v>154</v>
      </c>
      <c r="B155" s="2">
        <v>3</v>
      </c>
      <c r="C155" s="2">
        <v>1</v>
      </c>
      <c r="D155" s="2">
        <v>4</v>
      </c>
      <c r="E155" s="2">
        <v>1</v>
      </c>
      <c r="F155" s="2">
        <v>33</v>
      </c>
      <c r="G155" s="2"/>
      <c r="H155" s="2"/>
    </row>
    <row r="156" spans="1:8" x14ac:dyDescent="0.3">
      <c r="A156" s="2">
        <v>155</v>
      </c>
      <c r="B156" s="2">
        <v>3</v>
      </c>
      <c r="C156" s="2">
        <v>1</v>
      </c>
      <c r="D156" s="2">
        <v>4</v>
      </c>
      <c r="E156" s="2">
        <v>2</v>
      </c>
      <c r="F156" s="2">
        <v>22</v>
      </c>
      <c r="G156" s="2"/>
      <c r="H156" s="2"/>
    </row>
    <row r="157" spans="1:8" x14ac:dyDescent="0.3">
      <c r="A157" s="2">
        <v>156</v>
      </c>
      <c r="B157" s="2">
        <v>3</v>
      </c>
      <c r="C157" s="2">
        <v>1</v>
      </c>
      <c r="D157" s="2">
        <v>4</v>
      </c>
      <c r="E157" s="2">
        <v>3</v>
      </c>
      <c r="F157" s="2">
        <v>18</v>
      </c>
      <c r="G157" s="2"/>
      <c r="H157" s="2"/>
    </row>
    <row r="158" spans="1:8" x14ac:dyDescent="0.3">
      <c r="A158" s="2">
        <v>157</v>
      </c>
      <c r="B158" s="2">
        <v>3</v>
      </c>
      <c r="C158" s="2">
        <v>1</v>
      </c>
      <c r="D158" s="2">
        <v>5</v>
      </c>
      <c r="E158" s="2">
        <v>1</v>
      </c>
      <c r="F158" s="2">
        <v>33</v>
      </c>
      <c r="G158" s="2"/>
      <c r="H158" s="2"/>
    </row>
    <row r="159" spans="1:8" x14ac:dyDescent="0.3">
      <c r="A159" s="2">
        <v>158</v>
      </c>
      <c r="B159" s="2">
        <v>3</v>
      </c>
      <c r="C159" s="2">
        <v>1</v>
      </c>
      <c r="D159" s="2">
        <v>5</v>
      </c>
      <c r="E159" s="2">
        <v>2</v>
      </c>
      <c r="F159" s="2">
        <v>22</v>
      </c>
      <c r="G159" s="2"/>
      <c r="H159" s="2"/>
    </row>
    <row r="160" spans="1:8" x14ac:dyDescent="0.3">
      <c r="A160" s="2">
        <v>159</v>
      </c>
      <c r="B160" s="2">
        <v>3</v>
      </c>
      <c r="C160" s="2">
        <v>1</v>
      </c>
      <c r="D160" s="2">
        <v>5</v>
      </c>
      <c r="E160" s="2">
        <v>3</v>
      </c>
      <c r="F160" s="2">
        <v>18</v>
      </c>
      <c r="G160" s="2"/>
      <c r="H160" s="2"/>
    </row>
    <row r="161" spans="1:8" x14ac:dyDescent="0.3">
      <c r="A161" s="2">
        <v>160</v>
      </c>
      <c r="B161" s="2">
        <v>3</v>
      </c>
      <c r="C161" s="2">
        <v>1</v>
      </c>
      <c r="D161" s="2">
        <v>6</v>
      </c>
      <c r="E161" s="2">
        <v>1</v>
      </c>
      <c r="F161" s="2">
        <v>33</v>
      </c>
      <c r="G161" s="2"/>
      <c r="H161" s="2"/>
    </row>
    <row r="162" spans="1:8" x14ac:dyDescent="0.3">
      <c r="A162" s="2">
        <v>161</v>
      </c>
      <c r="B162" s="2">
        <v>3</v>
      </c>
      <c r="C162" s="2">
        <v>1</v>
      </c>
      <c r="D162" s="2">
        <v>6</v>
      </c>
      <c r="E162" s="2">
        <v>2</v>
      </c>
      <c r="F162" s="2">
        <v>22</v>
      </c>
      <c r="G162" s="2"/>
      <c r="H162" s="2"/>
    </row>
    <row r="163" spans="1:8" x14ac:dyDescent="0.3">
      <c r="A163" s="2">
        <v>162</v>
      </c>
      <c r="B163" s="2">
        <v>3</v>
      </c>
      <c r="C163" s="2">
        <v>1</v>
      </c>
      <c r="D163" s="2">
        <v>6</v>
      </c>
      <c r="E163" s="2">
        <v>3</v>
      </c>
      <c r="F163" s="2">
        <v>18</v>
      </c>
      <c r="G163" s="2"/>
      <c r="H163" s="2"/>
    </row>
    <row r="164" spans="1:8" x14ac:dyDescent="0.3">
      <c r="A164" s="2">
        <v>163</v>
      </c>
      <c r="B164" s="2">
        <v>3</v>
      </c>
      <c r="C164" s="2">
        <v>1</v>
      </c>
      <c r="D164" s="2">
        <v>7</v>
      </c>
      <c r="E164" s="2">
        <v>1</v>
      </c>
      <c r="F164" s="2">
        <v>35</v>
      </c>
      <c r="G164" s="2"/>
      <c r="H164" s="2"/>
    </row>
    <row r="165" spans="1:8" x14ac:dyDescent="0.3">
      <c r="A165" s="2">
        <v>164</v>
      </c>
      <c r="B165" s="2">
        <v>3</v>
      </c>
      <c r="C165" s="2">
        <v>1</v>
      </c>
      <c r="D165" s="2">
        <v>7</v>
      </c>
      <c r="E165" s="2">
        <v>2</v>
      </c>
      <c r="F165" s="2">
        <v>26</v>
      </c>
      <c r="G165" s="2"/>
      <c r="H165" s="2"/>
    </row>
    <row r="166" spans="1:8" x14ac:dyDescent="0.3">
      <c r="A166" s="2">
        <v>165</v>
      </c>
      <c r="B166" s="2">
        <v>3</v>
      </c>
      <c r="C166" s="2">
        <v>1</v>
      </c>
      <c r="D166" s="2">
        <v>7</v>
      </c>
      <c r="E166" s="2">
        <v>3</v>
      </c>
      <c r="F166" s="2">
        <v>22</v>
      </c>
      <c r="G166" s="2"/>
      <c r="H166" s="2"/>
    </row>
    <row r="167" spans="1:8" x14ac:dyDescent="0.3">
      <c r="A167" s="2">
        <v>166</v>
      </c>
      <c r="B167" s="2">
        <v>3</v>
      </c>
      <c r="C167" s="2">
        <v>1</v>
      </c>
      <c r="D167" s="2">
        <v>8</v>
      </c>
      <c r="E167" s="2">
        <v>1</v>
      </c>
      <c r="F167" s="2">
        <v>35</v>
      </c>
      <c r="G167" s="2"/>
      <c r="H167" s="2"/>
    </row>
    <row r="168" spans="1:8" x14ac:dyDescent="0.3">
      <c r="A168" s="2">
        <v>167</v>
      </c>
      <c r="B168" s="2">
        <v>3</v>
      </c>
      <c r="C168" s="2">
        <v>1</v>
      </c>
      <c r="D168" s="2">
        <v>8</v>
      </c>
      <c r="E168" s="2">
        <v>2</v>
      </c>
      <c r="F168" s="2">
        <v>26</v>
      </c>
      <c r="G168" s="2"/>
      <c r="H168" s="2"/>
    </row>
    <row r="169" spans="1:8" x14ac:dyDescent="0.3">
      <c r="A169" s="2">
        <v>168</v>
      </c>
      <c r="B169" s="2">
        <v>3</v>
      </c>
      <c r="C169" s="2">
        <v>1</v>
      </c>
      <c r="D169" s="2">
        <v>8</v>
      </c>
      <c r="E169" s="2">
        <v>3</v>
      </c>
      <c r="F169" s="2">
        <v>22</v>
      </c>
      <c r="G169" s="2"/>
      <c r="H169" s="2"/>
    </row>
    <row r="170" spans="1:8" x14ac:dyDescent="0.3">
      <c r="A170" s="2">
        <v>169</v>
      </c>
      <c r="B170" s="2">
        <v>3</v>
      </c>
      <c r="C170" s="2">
        <v>1</v>
      </c>
      <c r="D170" s="2">
        <v>9</v>
      </c>
      <c r="E170" s="2">
        <v>1</v>
      </c>
      <c r="F170" s="2">
        <v>35</v>
      </c>
      <c r="G170" s="2"/>
      <c r="H170" s="2"/>
    </row>
    <row r="171" spans="1:8" x14ac:dyDescent="0.3">
      <c r="A171" s="2">
        <v>170</v>
      </c>
      <c r="B171" s="2">
        <v>3</v>
      </c>
      <c r="C171" s="2">
        <v>1</v>
      </c>
      <c r="D171" s="2">
        <v>9</v>
      </c>
      <c r="E171" s="2">
        <v>2</v>
      </c>
      <c r="F171" s="2">
        <v>26</v>
      </c>
      <c r="G171" s="2"/>
      <c r="H171" s="2"/>
    </row>
    <row r="172" spans="1:8" x14ac:dyDescent="0.3">
      <c r="A172" s="2">
        <v>171</v>
      </c>
      <c r="B172" s="2">
        <v>3</v>
      </c>
      <c r="C172" s="2">
        <v>1</v>
      </c>
      <c r="D172" s="2">
        <v>9</v>
      </c>
      <c r="E172" s="2">
        <v>3</v>
      </c>
      <c r="F172" s="2">
        <v>22</v>
      </c>
      <c r="G172" s="2"/>
      <c r="H172" s="2"/>
    </row>
    <row r="173" spans="1:8" x14ac:dyDescent="0.3">
      <c r="A173" s="2">
        <v>172</v>
      </c>
      <c r="B173" s="2">
        <v>3</v>
      </c>
      <c r="C173" s="2">
        <v>1</v>
      </c>
      <c r="D173" s="2">
        <v>10</v>
      </c>
      <c r="E173" s="2">
        <v>1</v>
      </c>
      <c r="F173" s="2">
        <v>35</v>
      </c>
      <c r="G173" s="2"/>
      <c r="H173" s="2"/>
    </row>
    <row r="174" spans="1:8" x14ac:dyDescent="0.3">
      <c r="A174" s="2">
        <v>173</v>
      </c>
      <c r="B174" s="2">
        <v>3</v>
      </c>
      <c r="C174" s="2">
        <v>1</v>
      </c>
      <c r="D174" s="2">
        <v>10</v>
      </c>
      <c r="E174" s="2">
        <v>2</v>
      </c>
      <c r="F174" s="2">
        <v>26</v>
      </c>
      <c r="G174" s="2"/>
      <c r="H174" s="2"/>
    </row>
    <row r="175" spans="1:8" x14ac:dyDescent="0.3">
      <c r="A175" s="2">
        <v>174</v>
      </c>
      <c r="B175" s="2">
        <v>3</v>
      </c>
      <c r="C175" s="2">
        <v>1</v>
      </c>
      <c r="D175" s="2">
        <v>10</v>
      </c>
      <c r="E175" s="2">
        <v>3</v>
      </c>
      <c r="F175" s="2">
        <v>22</v>
      </c>
      <c r="G175" s="2"/>
      <c r="H175" s="2"/>
    </row>
    <row r="176" spans="1:8" x14ac:dyDescent="0.3">
      <c r="A176" s="2">
        <v>175</v>
      </c>
      <c r="B176" s="2">
        <v>3</v>
      </c>
      <c r="C176" s="2">
        <v>1</v>
      </c>
      <c r="D176" s="2">
        <v>11</v>
      </c>
      <c r="E176" s="2">
        <v>1</v>
      </c>
      <c r="F176" s="2">
        <v>41</v>
      </c>
      <c r="G176" s="2"/>
      <c r="H176" s="2"/>
    </row>
    <row r="177" spans="1:8" x14ac:dyDescent="0.3">
      <c r="A177" s="2">
        <v>176</v>
      </c>
      <c r="B177" s="2">
        <v>3</v>
      </c>
      <c r="C177" s="2">
        <v>1</v>
      </c>
      <c r="D177" s="2">
        <v>11</v>
      </c>
      <c r="E177" s="2">
        <v>2</v>
      </c>
      <c r="F177" s="2">
        <v>31</v>
      </c>
      <c r="G177" s="2"/>
      <c r="H177" s="2"/>
    </row>
    <row r="178" spans="1:8" x14ac:dyDescent="0.3">
      <c r="A178" s="2">
        <v>177</v>
      </c>
      <c r="B178" s="2">
        <v>3</v>
      </c>
      <c r="C178" s="2">
        <v>1</v>
      </c>
      <c r="D178" s="2">
        <v>11</v>
      </c>
      <c r="E178" s="2">
        <v>3</v>
      </c>
      <c r="F178" s="2">
        <v>27</v>
      </c>
      <c r="G178" s="2"/>
      <c r="H178" s="2"/>
    </row>
    <row r="179" spans="1:8" x14ac:dyDescent="0.3">
      <c r="A179" s="2">
        <v>178</v>
      </c>
      <c r="B179" s="2">
        <v>3</v>
      </c>
      <c r="C179" s="2">
        <v>1</v>
      </c>
      <c r="D179" s="2">
        <v>12</v>
      </c>
      <c r="E179" s="2">
        <v>1</v>
      </c>
      <c r="F179" s="2">
        <v>45</v>
      </c>
      <c r="G179" s="2"/>
      <c r="H179" s="2"/>
    </row>
    <row r="180" spans="1:8" x14ac:dyDescent="0.3">
      <c r="A180" s="2">
        <v>179</v>
      </c>
      <c r="B180" s="2">
        <v>3</v>
      </c>
      <c r="C180" s="2">
        <v>1</v>
      </c>
      <c r="D180" s="2">
        <v>12</v>
      </c>
      <c r="E180" s="2">
        <v>2</v>
      </c>
      <c r="F180" s="2">
        <v>34</v>
      </c>
      <c r="G180" s="2"/>
      <c r="H180" s="2"/>
    </row>
    <row r="181" spans="1:8" x14ac:dyDescent="0.3">
      <c r="A181" s="2">
        <v>180</v>
      </c>
      <c r="B181" s="2">
        <v>3</v>
      </c>
      <c r="C181" s="2">
        <v>1</v>
      </c>
      <c r="D181" s="2">
        <v>12</v>
      </c>
      <c r="E181" s="2">
        <v>3</v>
      </c>
      <c r="F181" s="2">
        <v>30</v>
      </c>
      <c r="G181" s="2"/>
      <c r="H181" s="2"/>
    </row>
    <row r="182" spans="1:8" x14ac:dyDescent="0.3">
      <c r="A182" s="2">
        <v>181</v>
      </c>
      <c r="B182" s="2">
        <v>3</v>
      </c>
      <c r="C182" s="2">
        <v>2</v>
      </c>
      <c r="D182" s="2">
        <v>1</v>
      </c>
      <c r="E182" s="2">
        <v>1</v>
      </c>
      <c r="F182" s="2">
        <v>26</v>
      </c>
      <c r="G182" s="2"/>
      <c r="H182" s="2"/>
    </row>
    <row r="183" spans="1:8" x14ac:dyDescent="0.3">
      <c r="A183" s="2">
        <v>182</v>
      </c>
      <c r="B183" s="2">
        <v>3</v>
      </c>
      <c r="C183" s="2">
        <v>2</v>
      </c>
      <c r="D183" s="2">
        <v>1</v>
      </c>
      <c r="E183" s="2">
        <v>2</v>
      </c>
      <c r="F183" s="2">
        <v>19</v>
      </c>
      <c r="G183" s="2"/>
      <c r="H183" s="2"/>
    </row>
    <row r="184" spans="1:8" x14ac:dyDescent="0.3">
      <c r="A184" s="2">
        <v>183</v>
      </c>
      <c r="B184" s="2">
        <v>3</v>
      </c>
      <c r="C184" s="2">
        <v>2</v>
      </c>
      <c r="D184" s="2">
        <v>1</v>
      </c>
      <c r="E184" s="2">
        <v>3</v>
      </c>
      <c r="F184" s="2">
        <v>15</v>
      </c>
      <c r="G184" s="2"/>
      <c r="H184" s="2"/>
    </row>
    <row r="185" spans="1:8" x14ac:dyDescent="0.3">
      <c r="A185" s="2">
        <v>184</v>
      </c>
      <c r="B185" s="2">
        <v>3</v>
      </c>
      <c r="C185" s="2">
        <v>2</v>
      </c>
      <c r="D185" s="2">
        <v>2</v>
      </c>
      <c r="E185" s="2">
        <v>1</v>
      </c>
      <c r="F185" s="2">
        <v>26</v>
      </c>
      <c r="G185" s="2"/>
      <c r="H185" s="2"/>
    </row>
    <row r="186" spans="1:8" x14ac:dyDescent="0.3">
      <c r="A186" s="2">
        <v>185</v>
      </c>
      <c r="B186" s="2">
        <v>3</v>
      </c>
      <c r="C186" s="2">
        <v>2</v>
      </c>
      <c r="D186" s="2">
        <v>2</v>
      </c>
      <c r="E186" s="2">
        <v>2</v>
      </c>
      <c r="F186" s="2">
        <v>19</v>
      </c>
      <c r="G186" s="2"/>
      <c r="H186" s="2"/>
    </row>
    <row r="187" spans="1:8" x14ac:dyDescent="0.3">
      <c r="A187" s="2">
        <v>186</v>
      </c>
      <c r="B187" s="2">
        <v>3</v>
      </c>
      <c r="C187" s="2">
        <v>2</v>
      </c>
      <c r="D187" s="2">
        <v>2</v>
      </c>
      <c r="E187" s="2">
        <v>3</v>
      </c>
      <c r="F187" s="2">
        <v>15</v>
      </c>
      <c r="G187" s="2"/>
      <c r="H187" s="2"/>
    </row>
    <row r="188" spans="1:8" x14ac:dyDescent="0.3">
      <c r="A188" s="2">
        <v>187</v>
      </c>
      <c r="B188" s="2">
        <v>3</v>
      </c>
      <c r="C188" s="2">
        <v>2</v>
      </c>
      <c r="D188" s="2">
        <v>3</v>
      </c>
      <c r="E188" s="2">
        <v>1</v>
      </c>
      <c r="F188" s="2">
        <v>26</v>
      </c>
      <c r="G188" s="2"/>
      <c r="H188" s="2"/>
    </row>
    <row r="189" spans="1:8" x14ac:dyDescent="0.3">
      <c r="A189" s="2">
        <v>188</v>
      </c>
      <c r="B189" s="2">
        <v>3</v>
      </c>
      <c r="C189" s="2">
        <v>2</v>
      </c>
      <c r="D189" s="2">
        <v>3</v>
      </c>
      <c r="E189" s="2">
        <v>2</v>
      </c>
      <c r="F189" s="2">
        <v>19</v>
      </c>
      <c r="G189" s="2"/>
      <c r="H189" s="2"/>
    </row>
    <row r="190" spans="1:8" x14ac:dyDescent="0.3">
      <c r="A190" s="2">
        <v>189</v>
      </c>
      <c r="B190" s="2">
        <v>3</v>
      </c>
      <c r="C190" s="2">
        <v>2</v>
      </c>
      <c r="D190" s="2">
        <v>3</v>
      </c>
      <c r="E190" s="2">
        <v>3</v>
      </c>
      <c r="F190" s="2">
        <v>15</v>
      </c>
      <c r="G190" s="2"/>
      <c r="H190" s="2"/>
    </row>
    <row r="191" spans="1:8" x14ac:dyDescent="0.3">
      <c r="A191" s="2">
        <v>190</v>
      </c>
      <c r="B191" s="2">
        <v>3</v>
      </c>
      <c r="C191" s="2">
        <v>2</v>
      </c>
      <c r="D191" s="2">
        <v>4</v>
      </c>
      <c r="E191" s="2">
        <v>1</v>
      </c>
      <c r="F191" s="2">
        <v>26</v>
      </c>
      <c r="G191" s="2"/>
      <c r="H191" s="2"/>
    </row>
    <row r="192" spans="1:8" x14ac:dyDescent="0.3">
      <c r="A192" s="2">
        <v>191</v>
      </c>
      <c r="B192" s="2">
        <v>3</v>
      </c>
      <c r="C192" s="2">
        <v>2</v>
      </c>
      <c r="D192" s="2">
        <v>4</v>
      </c>
      <c r="E192" s="2">
        <v>2</v>
      </c>
      <c r="F192" s="2">
        <v>19</v>
      </c>
      <c r="G192" s="2"/>
      <c r="H192" s="2"/>
    </row>
    <row r="193" spans="1:8" x14ac:dyDescent="0.3">
      <c r="A193" s="2">
        <v>192</v>
      </c>
      <c r="B193" s="2">
        <v>3</v>
      </c>
      <c r="C193" s="2">
        <v>2</v>
      </c>
      <c r="D193" s="2">
        <v>4</v>
      </c>
      <c r="E193" s="2">
        <v>3</v>
      </c>
      <c r="F193" s="2">
        <v>15</v>
      </c>
      <c r="G193" s="2"/>
      <c r="H193" s="2"/>
    </row>
    <row r="194" spans="1:8" x14ac:dyDescent="0.3">
      <c r="A194" s="2">
        <v>193</v>
      </c>
      <c r="B194" s="2">
        <v>3</v>
      </c>
      <c r="C194" s="2">
        <v>2</v>
      </c>
      <c r="D194" s="2">
        <v>5</v>
      </c>
      <c r="E194" s="2">
        <v>1</v>
      </c>
      <c r="F194" s="2">
        <v>26</v>
      </c>
      <c r="G194" s="2"/>
      <c r="H194" s="2"/>
    </row>
    <row r="195" spans="1:8" x14ac:dyDescent="0.3">
      <c r="A195" s="2">
        <v>194</v>
      </c>
      <c r="B195" s="2">
        <v>3</v>
      </c>
      <c r="C195" s="2">
        <v>2</v>
      </c>
      <c r="D195" s="2">
        <v>5</v>
      </c>
      <c r="E195" s="2">
        <v>2</v>
      </c>
      <c r="F195" s="2">
        <v>19</v>
      </c>
      <c r="G195" s="2"/>
      <c r="H195" s="2"/>
    </row>
    <row r="196" spans="1:8" x14ac:dyDescent="0.3">
      <c r="A196" s="2">
        <v>195</v>
      </c>
      <c r="B196" s="2">
        <v>3</v>
      </c>
      <c r="C196" s="2">
        <v>2</v>
      </c>
      <c r="D196" s="2">
        <v>5</v>
      </c>
      <c r="E196" s="2">
        <v>3</v>
      </c>
      <c r="F196" s="2">
        <v>15</v>
      </c>
      <c r="G196" s="2"/>
      <c r="H196" s="2"/>
    </row>
    <row r="197" spans="1:8" x14ac:dyDescent="0.3">
      <c r="A197" s="2">
        <v>196</v>
      </c>
      <c r="B197" s="2">
        <v>3</v>
      </c>
      <c r="C197" s="2">
        <v>2</v>
      </c>
      <c r="D197" s="2">
        <v>6</v>
      </c>
      <c r="E197" s="2">
        <v>1</v>
      </c>
      <c r="F197" s="2">
        <v>26</v>
      </c>
      <c r="G197" s="2"/>
      <c r="H197" s="2"/>
    </row>
    <row r="198" spans="1:8" x14ac:dyDescent="0.3">
      <c r="A198" s="2">
        <v>197</v>
      </c>
      <c r="B198" s="2">
        <v>3</v>
      </c>
      <c r="C198" s="2">
        <v>2</v>
      </c>
      <c r="D198" s="2">
        <v>6</v>
      </c>
      <c r="E198" s="2">
        <v>2</v>
      </c>
      <c r="F198" s="2">
        <v>19</v>
      </c>
      <c r="G198" s="2"/>
      <c r="H198" s="2"/>
    </row>
    <row r="199" spans="1:8" x14ac:dyDescent="0.3">
      <c r="A199" s="2">
        <v>198</v>
      </c>
      <c r="B199" s="2">
        <v>3</v>
      </c>
      <c r="C199" s="2">
        <v>2</v>
      </c>
      <c r="D199" s="2">
        <v>6</v>
      </c>
      <c r="E199" s="2">
        <v>3</v>
      </c>
      <c r="F199" s="2">
        <v>15</v>
      </c>
      <c r="G199" s="2"/>
      <c r="H199" s="2"/>
    </row>
    <row r="200" spans="1:8" x14ac:dyDescent="0.3">
      <c r="A200" s="2">
        <v>199</v>
      </c>
      <c r="B200" s="2">
        <v>3</v>
      </c>
      <c r="C200" s="2">
        <v>2</v>
      </c>
      <c r="D200" s="2">
        <v>7</v>
      </c>
      <c r="E200" s="2">
        <v>1</v>
      </c>
      <c r="F200" s="2">
        <v>28</v>
      </c>
      <c r="G200" s="2"/>
      <c r="H200" s="2"/>
    </row>
    <row r="201" spans="1:8" x14ac:dyDescent="0.3">
      <c r="A201" s="2">
        <v>200</v>
      </c>
      <c r="B201" s="2">
        <v>3</v>
      </c>
      <c r="C201" s="2">
        <v>2</v>
      </c>
      <c r="D201" s="2">
        <v>7</v>
      </c>
      <c r="E201" s="2">
        <v>2</v>
      </c>
      <c r="F201" s="2">
        <v>22</v>
      </c>
      <c r="G201" s="2"/>
      <c r="H201" s="2"/>
    </row>
    <row r="202" spans="1:8" x14ac:dyDescent="0.3">
      <c r="A202" s="2">
        <v>201</v>
      </c>
      <c r="B202" s="2">
        <v>3</v>
      </c>
      <c r="C202" s="2">
        <v>2</v>
      </c>
      <c r="D202" s="2">
        <v>7</v>
      </c>
      <c r="E202" s="2">
        <v>3</v>
      </c>
      <c r="F202" s="2">
        <v>18</v>
      </c>
      <c r="G202" s="2"/>
      <c r="H202" s="2"/>
    </row>
    <row r="203" spans="1:8" x14ac:dyDescent="0.3">
      <c r="A203" s="2">
        <v>202</v>
      </c>
      <c r="B203" s="2">
        <v>3</v>
      </c>
      <c r="C203" s="2">
        <v>2</v>
      </c>
      <c r="D203" s="2">
        <v>8</v>
      </c>
      <c r="E203" s="2">
        <v>1</v>
      </c>
      <c r="F203" s="2">
        <v>28</v>
      </c>
      <c r="G203" s="2"/>
      <c r="H203" s="2"/>
    </row>
    <row r="204" spans="1:8" x14ac:dyDescent="0.3">
      <c r="A204" s="2">
        <v>203</v>
      </c>
      <c r="B204" s="2">
        <v>3</v>
      </c>
      <c r="C204" s="2">
        <v>2</v>
      </c>
      <c r="D204" s="2">
        <v>8</v>
      </c>
      <c r="E204" s="2">
        <v>2</v>
      </c>
      <c r="F204" s="2">
        <v>22</v>
      </c>
      <c r="G204" s="2"/>
      <c r="H204" s="2"/>
    </row>
    <row r="205" spans="1:8" x14ac:dyDescent="0.3">
      <c r="A205" s="2">
        <v>204</v>
      </c>
      <c r="B205" s="2">
        <v>3</v>
      </c>
      <c r="C205" s="2">
        <v>2</v>
      </c>
      <c r="D205" s="2">
        <v>8</v>
      </c>
      <c r="E205" s="2">
        <v>3</v>
      </c>
      <c r="F205" s="2">
        <v>18</v>
      </c>
      <c r="G205" s="2"/>
      <c r="H205" s="2"/>
    </row>
    <row r="206" spans="1:8" x14ac:dyDescent="0.3">
      <c r="A206" s="2">
        <v>205</v>
      </c>
      <c r="B206" s="2">
        <v>3</v>
      </c>
      <c r="C206" s="2">
        <v>2</v>
      </c>
      <c r="D206" s="2">
        <v>9</v>
      </c>
      <c r="E206" s="2">
        <v>1</v>
      </c>
      <c r="F206" s="2">
        <v>28</v>
      </c>
      <c r="G206" s="2"/>
      <c r="H206" s="2"/>
    </row>
    <row r="207" spans="1:8" x14ac:dyDescent="0.3">
      <c r="A207" s="2">
        <v>206</v>
      </c>
      <c r="B207" s="2">
        <v>3</v>
      </c>
      <c r="C207" s="2">
        <v>2</v>
      </c>
      <c r="D207" s="2">
        <v>9</v>
      </c>
      <c r="E207" s="2">
        <v>2</v>
      </c>
      <c r="F207" s="2">
        <v>22</v>
      </c>
      <c r="G207" s="2"/>
      <c r="H207" s="2"/>
    </row>
    <row r="208" spans="1:8" x14ac:dyDescent="0.3">
      <c r="A208" s="2">
        <v>207</v>
      </c>
      <c r="B208" s="2">
        <v>3</v>
      </c>
      <c r="C208" s="2">
        <v>2</v>
      </c>
      <c r="D208" s="2">
        <v>9</v>
      </c>
      <c r="E208" s="2">
        <v>3</v>
      </c>
      <c r="F208" s="2">
        <v>18</v>
      </c>
      <c r="G208" s="2"/>
      <c r="H208" s="2"/>
    </row>
    <row r="209" spans="1:8" x14ac:dyDescent="0.3">
      <c r="A209" s="2">
        <v>208</v>
      </c>
      <c r="B209" s="2">
        <v>3</v>
      </c>
      <c r="C209" s="2">
        <v>2</v>
      </c>
      <c r="D209" s="2">
        <v>10</v>
      </c>
      <c r="E209" s="2">
        <v>1</v>
      </c>
      <c r="F209" s="2">
        <v>28</v>
      </c>
      <c r="G209" s="2"/>
      <c r="H209" s="2"/>
    </row>
    <row r="210" spans="1:8" x14ac:dyDescent="0.3">
      <c r="A210" s="2">
        <v>209</v>
      </c>
      <c r="B210" s="2">
        <v>3</v>
      </c>
      <c r="C210" s="2">
        <v>2</v>
      </c>
      <c r="D210" s="2">
        <v>10</v>
      </c>
      <c r="E210" s="2">
        <v>2</v>
      </c>
      <c r="F210" s="2">
        <v>22</v>
      </c>
      <c r="G210" s="2"/>
      <c r="H210" s="2"/>
    </row>
    <row r="211" spans="1:8" x14ac:dyDescent="0.3">
      <c r="A211" s="2">
        <v>210</v>
      </c>
      <c r="B211" s="2">
        <v>3</v>
      </c>
      <c r="C211" s="2">
        <v>2</v>
      </c>
      <c r="D211" s="2">
        <v>10</v>
      </c>
      <c r="E211" s="2">
        <v>3</v>
      </c>
      <c r="F211" s="2">
        <v>18</v>
      </c>
      <c r="G211" s="2"/>
      <c r="H211" s="2"/>
    </row>
    <row r="212" spans="1:8" x14ac:dyDescent="0.3">
      <c r="A212" s="2">
        <v>211</v>
      </c>
      <c r="B212" s="2">
        <v>3</v>
      </c>
      <c r="C212" s="2">
        <v>2</v>
      </c>
      <c r="D212" s="2">
        <v>11</v>
      </c>
      <c r="E212" s="2">
        <v>1</v>
      </c>
      <c r="F212" s="2">
        <v>33</v>
      </c>
      <c r="G212" s="2"/>
      <c r="H212" s="2"/>
    </row>
    <row r="213" spans="1:8" x14ac:dyDescent="0.3">
      <c r="A213" s="2">
        <v>212</v>
      </c>
      <c r="B213" s="2">
        <v>3</v>
      </c>
      <c r="C213" s="2">
        <v>2</v>
      </c>
      <c r="D213" s="2">
        <v>11</v>
      </c>
      <c r="E213" s="2">
        <v>2</v>
      </c>
      <c r="F213" s="2">
        <v>27</v>
      </c>
      <c r="G213" s="2"/>
      <c r="H213" s="2"/>
    </row>
    <row r="214" spans="1:8" x14ac:dyDescent="0.3">
      <c r="A214" s="2">
        <v>213</v>
      </c>
      <c r="B214" s="2">
        <v>3</v>
      </c>
      <c r="C214" s="2">
        <v>2</v>
      </c>
      <c r="D214" s="2">
        <v>11</v>
      </c>
      <c r="E214" s="2">
        <v>3</v>
      </c>
      <c r="F214" s="2">
        <v>23</v>
      </c>
      <c r="G214" s="2"/>
      <c r="H214" s="2"/>
    </row>
    <row r="215" spans="1:8" x14ac:dyDescent="0.3">
      <c r="A215" s="2">
        <v>214</v>
      </c>
      <c r="B215" s="2">
        <v>3</v>
      </c>
      <c r="C215" s="2">
        <v>2</v>
      </c>
      <c r="D215" s="2">
        <v>12</v>
      </c>
      <c r="E215" s="2">
        <v>1</v>
      </c>
      <c r="F215" s="2">
        <v>38</v>
      </c>
      <c r="G215" s="2"/>
      <c r="H215" s="2"/>
    </row>
    <row r="216" spans="1:8" x14ac:dyDescent="0.3">
      <c r="A216" s="2">
        <v>215</v>
      </c>
      <c r="B216" s="2">
        <v>3</v>
      </c>
      <c r="C216" s="2">
        <v>2</v>
      </c>
      <c r="D216" s="2">
        <v>12</v>
      </c>
      <c r="E216" s="2">
        <v>2</v>
      </c>
      <c r="F216" s="2">
        <v>30</v>
      </c>
      <c r="G216" s="2"/>
      <c r="H216" s="2"/>
    </row>
    <row r="217" spans="1:8" x14ac:dyDescent="0.3">
      <c r="A217" s="2">
        <v>216</v>
      </c>
      <c r="B217" s="2">
        <v>3</v>
      </c>
      <c r="C217" s="2">
        <v>2</v>
      </c>
      <c r="D217" s="2">
        <v>12</v>
      </c>
      <c r="E217" s="2">
        <v>3</v>
      </c>
      <c r="F217" s="2">
        <v>26</v>
      </c>
      <c r="G217" s="2"/>
      <c r="H217" s="2"/>
    </row>
    <row r="218" spans="1:8" x14ac:dyDescent="0.3">
      <c r="A218" s="2"/>
      <c r="B218" s="2"/>
      <c r="C218" s="2"/>
      <c r="D218" s="2"/>
      <c r="E218" s="2"/>
      <c r="F218" s="2"/>
      <c r="G218" s="2"/>
      <c r="H218" s="2"/>
    </row>
    <row r="219" spans="1:8" x14ac:dyDescent="0.3">
      <c r="A219" s="2"/>
      <c r="B219" s="2"/>
      <c r="C219" s="2"/>
      <c r="D219" s="2"/>
      <c r="E219" s="2"/>
      <c r="F219" s="2"/>
      <c r="G219" s="2"/>
      <c r="H219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A4E8-052A-4134-AB91-9ECF09A3FDC7}">
  <dimension ref="A1:G289"/>
  <sheetViews>
    <sheetView workbookViewId="0">
      <selection activeCell="D50" sqref="D50:E52"/>
    </sheetView>
  </sheetViews>
  <sheetFormatPr baseColWidth="10" defaultColWidth="11.44140625" defaultRowHeight="14.4" x14ac:dyDescent="0.3"/>
  <cols>
    <col min="1" max="1" width="17" customWidth="1"/>
    <col min="2" max="2" width="19.109375" customWidth="1"/>
    <col min="3" max="4" width="15.5546875" customWidth="1"/>
    <col min="5" max="5" width="14.44140625" customWidth="1"/>
  </cols>
  <sheetData>
    <row r="1" spans="1:7" x14ac:dyDescent="0.3">
      <c r="A1" s="2" t="s">
        <v>35</v>
      </c>
      <c r="B1" s="2" t="s">
        <v>33</v>
      </c>
      <c r="C1" s="2" t="s">
        <v>29</v>
      </c>
      <c r="D1" s="2" t="s">
        <v>31</v>
      </c>
      <c r="E1" s="2" t="s">
        <v>26</v>
      </c>
      <c r="F1" s="2" t="s">
        <v>18</v>
      </c>
      <c r="G1" s="2" t="s">
        <v>34</v>
      </c>
    </row>
    <row r="2" spans="1:7" x14ac:dyDescent="0.3">
      <c r="A2" s="2">
        <v>1</v>
      </c>
      <c r="B2" s="2">
        <v>1</v>
      </c>
      <c r="C2" s="2">
        <v>3</v>
      </c>
      <c r="D2" s="2">
        <v>4</v>
      </c>
      <c r="E2" s="2">
        <v>1</v>
      </c>
      <c r="F2" s="2">
        <v>1</v>
      </c>
      <c r="G2" s="2">
        <v>50</v>
      </c>
    </row>
    <row r="3" spans="1:7" x14ac:dyDescent="0.3">
      <c r="A3" s="2">
        <v>2</v>
      </c>
      <c r="B3" s="2">
        <v>1</v>
      </c>
      <c r="C3" s="2">
        <v>3</v>
      </c>
      <c r="D3" s="2">
        <v>4</v>
      </c>
      <c r="E3" s="2">
        <v>1</v>
      </c>
      <c r="F3" s="2">
        <v>2</v>
      </c>
      <c r="G3" s="2">
        <v>45</v>
      </c>
    </row>
    <row r="4" spans="1:7" x14ac:dyDescent="0.3">
      <c r="A4" s="2">
        <v>3</v>
      </c>
      <c r="B4" s="2">
        <v>1</v>
      </c>
      <c r="C4" s="2">
        <v>3</v>
      </c>
      <c r="D4" s="2">
        <v>4</v>
      </c>
      <c r="E4" s="2">
        <v>1</v>
      </c>
      <c r="F4" s="2">
        <v>3</v>
      </c>
      <c r="G4" s="2">
        <v>40</v>
      </c>
    </row>
    <row r="5" spans="1:7" x14ac:dyDescent="0.3">
      <c r="A5" s="2">
        <v>4</v>
      </c>
      <c r="B5" s="2">
        <v>1</v>
      </c>
      <c r="C5" s="2">
        <v>3</v>
      </c>
      <c r="D5" s="2">
        <v>4</v>
      </c>
      <c r="E5" s="2">
        <v>2</v>
      </c>
      <c r="F5" s="2">
        <v>1</v>
      </c>
      <c r="G5" s="2">
        <v>50</v>
      </c>
    </row>
    <row r="6" spans="1:7" x14ac:dyDescent="0.3">
      <c r="A6" s="2">
        <v>5</v>
      </c>
      <c r="B6" s="2">
        <v>1</v>
      </c>
      <c r="C6" s="2">
        <v>3</v>
      </c>
      <c r="D6" s="2">
        <v>4</v>
      </c>
      <c r="E6" s="2">
        <v>2</v>
      </c>
      <c r="F6" s="2">
        <v>2</v>
      </c>
      <c r="G6" s="2">
        <v>45</v>
      </c>
    </row>
    <row r="7" spans="1:7" x14ac:dyDescent="0.3">
      <c r="A7" s="2">
        <v>6</v>
      </c>
      <c r="B7" s="2">
        <v>1</v>
      </c>
      <c r="C7" s="2">
        <v>3</v>
      </c>
      <c r="D7" s="2">
        <v>4</v>
      </c>
      <c r="E7" s="2">
        <v>2</v>
      </c>
      <c r="F7" s="2">
        <v>3</v>
      </c>
      <c r="G7" s="2">
        <v>40</v>
      </c>
    </row>
    <row r="8" spans="1:7" x14ac:dyDescent="0.3">
      <c r="A8" s="2">
        <v>7</v>
      </c>
      <c r="B8" s="2">
        <v>1</v>
      </c>
      <c r="C8" s="2">
        <v>3</v>
      </c>
      <c r="D8" s="2">
        <v>4</v>
      </c>
      <c r="E8" s="2">
        <v>3</v>
      </c>
      <c r="F8" s="2">
        <v>1</v>
      </c>
      <c r="G8" s="2">
        <v>50</v>
      </c>
    </row>
    <row r="9" spans="1:7" x14ac:dyDescent="0.3">
      <c r="A9" s="2">
        <v>8</v>
      </c>
      <c r="B9" s="2">
        <v>1</v>
      </c>
      <c r="C9" s="2">
        <v>3</v>
      </c>
      <c r="D9" s="2">
        <v>4</v>
      </c>
      <c r="E9" s="2">
        <v>3</v>
      </c>
      <c r="F9" s="2">
        <v>2</v>
      </c>
      <c r="G9" s="2">
        <v>45</v>
      </c>
    </row>
    <row r="10" spans="1:7" x14ac:dyDescent="0.3">
      <c r="A10" s="2">
        <v>9</v>
      </c>
      <c r="B10" s="2">
        <v>1</v>
      </c>
      <c r="C10" s="2">
        <v>3</v>
      </c>
      <c r="D10" s="2">
        <v>4</v>
      </c>
      <c r="E10" s="2">
        <v>3</v>
      </c>
      <c r="F10" s="2">
        <v>3</v>
      </c>
      <c r="G10" s="2">
        <v>40</v>
      </c>
    </row>
    <row r="11" spans="1:7" x14ac:dyDescent="0.3">
      <c r="A11" s="2">
        <v>10</v>
      </c>
      <c r="B11" s="2">
        <v>1</v>
      </c>
      <c r="C11" s="2">
        <v>3</v>
      </c>
      <c r="D11" s="2">
        <v>4</v>
      </c>
      <c r="E11" s="2">
        <v>4</v>
      </c>
      <c r="F11" s="2">
        <v>1</v>
      </c>
      <c r="G11" s="2">
        <v>50</v>
      </c>
    </row>
    <row r="12" spans="1:7" x14ac:dyDescent="0.3">
      <c r="A12" s="2">
        <v>11</v>
      </c>
      <c r="B12" s="2">
        <v>1</v>
      </c>
      <c r="C12" s="2">
        <v>3</v>
      </c>
      <c r="D12" s="2">
        <v>4</v>
      </c>
      <c r="E12" s="2">
        <v>4</v>
      </c>
      <c r="F12" s="2">
        <v>2</v>
      </c>
      <c r="G12" s="2">
        <v>45</v>
      </c>
    </row>
    <row r="13" spans="1:7" x14ac:dyDescent="0.3">
      <c r="A13" s="2">
        <v>12</v>
      </c>
      <c r="B13" s="2">
        <v>1</v>
      </c>
      <c r="C13" s="2">
        <v>3</v>
      </c>
      <c r="D13" s="2">
        <v>4</v>
      </c>
      <c r="E13" s="2">
        <v>4</v>
      </c>
      <c r="F13" s="2">
        <v>3</v>
      </c>
      <c r="G13" s="2">
        <v>40</v>
      </c>
    </row>
    <row r="14" spans="1:7" x14ac:dyDescent="0.3">
      <c r="A14" s="2">
        <v>13</v>
      </c>
      <c r="B14" s="2">
        <v>1</v>
      </c>
      <c r="C14" s="2">
        <v>3</v>
      </c>
      <c r="D14" s="2">
        <v>4</v>
      </c>
      <c r="E14" s="2">
        <v>5</v>
      </c>
      <c r="F14" s="2">
        <v>1</v>
      </c>
      <c r="G14" s="2">
        <v>50</v>
      </c>
    </row>
    <row r="15" spans="1:7" x14ac:dyDescent="0.3">
      <c r="A15" s="2">
        <v>14</v>
      </c>
      <c r="B15" s="2">
        <v>1</v>
      </c>
      <c r="C15" s="2">
        <v>3</v>
      </c>
      <c r="D15" s="2">
        <v>4</v>
      </c>
      <c r="E15" s="2">
        <v>5</v>
      </c>
      <c r="F15" s="2">
        <v>2</v>
      </c>
      <c r="G15" s="2">
        <v>45</v>
      </c>
    </row>
    <row r="16" spans="1:7" x14ac:dyDescent="0.3">
      <c r="A16" s="2">
        <v>15</v>
      </c>
      <c r="B16" s="2">
        <v>1</v>
      </c>
      <c r="C16" s="2">
        <v>3</v>
      </c>
      <c r="D16" s="2">
        <v>4</v>
      </c>
      <c r="E16" s="2">
        <v>5</v>
      </c>
      <c r="F16" s="2">
        <v>3</v>
      </c>
      <c r="G16" s="2">
        <v>40</v>
      </c>
    </row>
    <row r="17" spans="1:7" x14ac:dyDescent="0.3">
      <c r="A17" s="2">
        <v>16</v>
      </c>
      <c r="B17" s="2">
        <v>1</v>
      </c>
      <c r="C17" s="2">
        <v>3</v>
      </c>
      <c r="D17" s="2">
        <v>4</v>
      </c>
      <c r="E17" s="2">
        <v>6</v>
      </c>
      <c r="F17" s="2">
        <v>1</v>
      </c>
      <c r="G17" s="2">
        <v>50</v>
      </c>
    </row>
    <row r="18" spans="1:7" x14ac:dyDescent="0.3">
      <c r="A18" s="2">
        <v>17</v>
      </c>
      <c r="B18" s="2">
        <v>1</v>
      </c>
      <c r="C18" s="2">
        <v>3</v>
      </c>
      <c r="D18" s="2">
        <v>4</v>
      </c>
      <c r="E18" s="2">
        <v>6</v>
      </c>
      <c r="F18" s="2">
        <v>2</v>
      </c>
      <c r="G18" s="2">
        <v>45</v>
      </c>
    </row>
    <row r="19" spans="1:7" x14ac:dyDescent="0.3">
      <c r="A19" s="2">
        <v>18</v>
      </c>
      <c r="B19" s="2">
        <v>1</v>
      </c>
      <c r="C19" s="2">
        <v>3</v>
      </c>
      <c r="D19" s="2">
        <v>4</v>
      </c>
      <c r="E19" s="2">
        <v>6</v>
      </c>
      <c r="F19" s="2">
        <v>3</v>
      </c>
      <c r="G19" s="2">
        <v>40</v>
      </c>
    </row>
    <row r="20" spans="1:7" x14ac:dyDescent="0.3">
      <c r="A20" s="2">
        <v>19</v>
      </c>
      <c r="B20" s="2">
        <v>1</v>
      </c>
      <c r="C20" s="2">
        <v>3</v>
      </c>
      <c r="D20" s="2">
        <v>4</v>
      </c>
      <c r="E20" s="2">
        <v>7</v>
      </c>
      <c r="F20" s="2">
        <v>1</v>
      </c>
      <c r="G20" s="2">
        <v>55</v>
      </c>
    </row>
    <row r="21" spans="1:7" x14ac:dyDescent="0.3">
      <c r="A21" s="2">
        <v>20</v>
      </c>
      <c r="B21" s="2">
        <v>1</v>
      </c>
      <c r="C21" s="2">
        <v>3</v>
      </c>
      <c r="D21" s="2">
        <v>4</v>
      </c>
      <c r="E21" s="2">
        <v>7</v>
      </c>
      <c r="F21" s="2">
        <v>2</v>
      </c>
      <c r="G21" s="2">
        <v>50</v>
      </c>
    </row>
    <row r="22" spans="1:7" x14ac:dyDescent="0.3">
      <c r="A22" s="2">
        <v>21</v>
      </c>
      <c r="B22" s="2">
        <v>1</v>
      </c>
      <c r="C22" s="2">
        <v>3</v>
      </c>
      <c r="D22" s="2">
        <v>4</v>
      </c>
      <c r="E22" s="2">
        <v>7</v>
      </c>
      <c r="F22" s="2">
        <v>3</v>
      </c>
      <c r="G22" s="2">
        <v>45</v>
      </c>
    </row>
    <row r="23" spans="1:7" x14ac:dyDescent="0.3">
      <c r="A23" s="2">
        <v>22</v>
      </c>
      <c r="B23" s="2">
        <v>1</v>
      </c>
      <c r="C23" s="2">
        <v>3</v>
      </c>
      <c r="D23" s="2">
        <v>4</v>
      </c>
      <c r="E23" s="2">
        <v>8</v>
      </c>
      <c r="F23" s="2">
        <v>1</v>
      </c>
      <c r="G23" s="2">
        <v>55</v>
      </c>
    </row>
    <row r="24" spans="1:7" x14ac:dyDescent="0.3">
      <c r="A24" s="2">
        <v>23</v>
      </c>
      <c r="B24" s="2">
        <v>1</v>
      </c>
      <c r="C24" s="2">
        <v>3</v>
      </c>
      <c r="D24" s="2">
        <v>4</v>
      </c>
      <c r="E24" s="2">
        <v>8</v>
      </c>
      <c r="F24" s="2">
        <v>2</v>
      </c>
      <c r="G24" s="2">
        <v>50</v>
      </c>
    </row>
    <row r="25" spans="1:7" x14ac:dyDescent="0.3">
      <c r="A25" s="2">
        <v>24</v>
      </c>
      <c r="B25" s="2">
        <v>1</v>
      </c>
      <c r="C25" s="2">
        <v>3</v>
      </c>
      <c r="D25" s="2">
        <v>4</v>
      </c>
      <c r="E25" s="2">
        <v>8</v>
      </c>
      <c r="F25" s="2">
        <v>3</v>
      </c>
      <c r="G25" s="2">
        <v>45</v>
      </c>
    </row>
    <row r="26" spans="1:7" x14ac:dyDescent="0.3">
      <c r="A26" s="2">
        <v>25</v>
      </c>
      <c r="B26" s="2">
        <v>1</v>
      </c>
      <c r="C26" s="2">
        <v>3</v>
      </c>
      <c r="D26" s="2">
        <v>4</v>
      </c>
      <c r="E26" s="2">
        <v>9</v>
      </c>
      <c r="F26" s="2">
        <v>1</v>
      </c>
      <c r="G26" s="2">
        <v>55</v>
      </c>
    </row>
    <row r="27" spans="1:7" x14ac:dyDescent="0.3">
      <c r="A27" s="2">
        <v>26</v>
      </c>
      <c r="B27" s="2">
        <v>1</v>
      </c>
      <c r="C27" s="2">
        <v>3</v>
      </c>
      <c r="D27" s="2">
        <v>4</v>
      </c>
      <c r="E27" s="2">
        <v>9</v>
      </c>
      <c r="F27" s="2">
        <v>2</v>
      </c>
      <c r="G27" s="2">
        <v>50</v>
      </c>
    </row>
    <row r="28" spans="1:7" x14ac:dyDescent="0.3">
      <c r="A28" s="2">
        <v>27</v>
      </c>
      <c r="B28" s="2">
        <v>1</v>
      </c>
      <c r="C28" s="2">
        <v>3</v>
      </c>
      <c r="D28" s="2">
        <v>4</v>
      </c>
      <c r="E28" s="2">
        <v>9</v>
      </c>
      <c r="F28" s="2">
        <v>3</v>
      </c>
      <c r="G28" s="2">
        <v>45</v>
      </c>
    </row>
    <row r="29" spans="1:7" x14ac:dyDescent="0.3">
      <c r="A29" s="2">
        <v>28</v>
      </c>
      <c r="B29" s="2">
        <v>1</v>
      </c>
      <c r="C29" s="2">
        <v>3</v>
      </c>
      <c r="D29" s="2">
        <v>4</v>
      </c>
      <c r="E29" s="2">
        <v>10</v>
      </c>
      <c r="F29" s="2">
        <v>1</v>
      </c>
      <c r="G29" s="2">
        <v>55</v>
      </c>
    </row>
    <row r="30" spans="1:7" x14ac:dyDescent="0.3">
      <c r="A30" s="2">
        <v>29</v>
      </c>
      <c r="B30" s="2">
        <v>1</v>
      </c>
      <c r="C30" s="2">
        <v>3</v>
      </c>
      <c r="D30" s="2">
        <v>4</v>
      </c>
      <c r="E30" s="2">
        <v>10</v>
      </c>
      <c r="F30" s="2">
        <v>2</v>
      </c>
      <c r="G30" s="2">
        <v>50</v>
      </c>
    </row>
    <row r="31" spans="1:7" x14ac:dyDescent="0.3">
      <c r="A31" s="2">
        <v>30</v>
      </c>
      <c r="B31" s="2">
        <v>1</v>
      </c>
      <c r="C31" s="2">
        <v>3</v>
      </c>
      <c r="D31" s="2">
        <v>4</v>
      </c>
      <c r="E31" s="2">
        <v>10</v>
      </c>
      <c r="F31" s="2">
        <v>3</v>
      </c>
      <c r="G31" s="2">
        <v>45</v>
      </c>
    </row>
    <row r="32" spans="1:7" x14ac:dyDescent="0.3">
      <c r="A32" s="2">
        <v>31</v>
      </c>
      <c r="B32" s="2">
        <v>1</v>
      </c>
      <c r="C32" s="2">
        <v>3</v>
      </c>
      <c r="D32" s="2">
        <v>4</v>
      </c>
      <c r="E32" s="2">
        <v>11</v>
      </c>
      <c r="F32" s="2">
        <v>1</v>
      </c>
      <c r="G32" s="2">
        <v>63</v>
      </c>
    </row>
    <row r="33" spans="1:7" x14ac:dyDescent="0.3">
      <c r="A33" s="2">
        <v>32</v>
      </c>
      <c r="B33" s="2">
        <v>1</v>
      </c>
      <c r="C33" s="2">
        <v>3</v>
      </c>
      <c r="D33" s="2">
        <v>4</v>
      </c>
      <c r="E33" s="2">
        <v>11</v>
      </c>
      <c r="F33" s="2">
        <v>2</v>
      </c>
      <c r="G33" s="2">
        <v>58</v>
      </c>
    </row>
    <row r="34" spans="1:7" x14ac:dyDescent="0.3">
      <c r="A34" s="2">
        <v>33</v>
      </c>
      <c r="B34" s="2">
        <v>1</v>
      </c>
      <c r="C34" s="2">
        <v>3</v>
      </c>
      <c r="D34" s="2">
        <v>4</v>
      </c>
      <c r="E34" s="2">
        <v>11</v>
      </c>
      <c r="F34" s="2">
        <v>3</v>
      </c>
      <c r="G34" s="2">
        <v>53</v>
      </c>
    </row>
    <row r="35" spans="1:7" x14ac:dyDescent="0.3">
      <c r="A35" s="2">
        <v>34</v>
      </c>
      <c r="B35" s="2">
        <v>1</v>
      </c>
      <c r="C35" s="2">
        <v>3</v>
      </c>
      <c r="D35" s="2">
        <v>4</v>
      </c>
      <c r="E35" s="2">
        <v>12</v>
      </c>
      <c r="F35" s="2">
        <v>1</v>
      </c>
      <c r="G35" s="2">
        <v>65</v>
      </c>
    </row>
    <row r="36" spans="1:7" x14ac:dyDescent="0.3">
      <c r="A36" s="2">
        <v>35</v>
      </c>
      <c r="B36" s="2">
        <v>1</v>
      </c>
      <c r="C36" s="2">
        <v>3</v>
      </c>
      <c r="D36" s="2">
        <v>4</v>
      </c>
      <c r="E36" s="2">
        <v>12</v>
      </c>
      <c r="F36" s="2">
        <v>2</v>
      </c>
      <c r="G36" s="2">
        <v>60</v>
      </c>
    </row>
    <row r="37" spans="1:7" x14ac:dyDescent="0.3">
      <c r="A37" s="2">
        <v>36</v>
      </c>
      <c r="B37" s="2">
        <v>1</v>
      </c>
      <c r="C37" s="2">
        <v>3</v>
      </c>
      <c r="D37" s="2">
        <v>4</v>
      </c>
      <c r="E37" s="2">
        <v>12</v>
      </c>
      <c r="F37" s="2">
        <v>3</v>
      </c>
      <c r="G37" s="2">
        <v>55</v>
      </c>
    </row>
    <row r="38" spans="1:7" x14ac:dyDescent="0.3">
      <c r="A38" s="2">
        <v>37</v>
      </c>
      <c r="B38" s="2">
        <v>1</v>
      </c>
      <c r="C38" s="2">
        <v>3</v>
      </c>
      <c r="D38" s="2">
        <v>5</v>
      </c>
      <c r="E38" s="2">
        <v>1</v>
      </c>
      <c r="F38" s="2">
        <v>1</v>
      </c>
      <c r="G38" s="2">
        <v>45</v>
      </c>
    </row>
    <row r="39" spans="1:7" x14ac:dyDescent="0.3">
      <c r="A39" s="2">
        <v>38</v>
      </c>
      <c r="B39" s="2">
        <v>1</v>
      </c>
      <c r="C39" s="2">
        <v>3</v>
      </c>
      <c r="D39" s="2">
        <v>5</v>
      </c>
      <c r="E39" s="2">
        <v>1</v>
      </c>
      <c r="F39" s="2">
        <v>2</v>
      </c>
      <c r="G39" s="2">
        <v>40</v>
      </c>
    </row>
    <row r="40" spans="1:7" x14ac:dyDescent="0.3">
      <c r="A40" s="2">
        <v>39</v>
      </c>
      <c r="B40" s="2">
        <v>1</v>
      </c>
      <c r="C40" s="2">
        <v>3</v>
      </c>
      <c r="D40" s="2">
        <v>5</v>
      </c>
      <c r="E40" s="2">
        <v>1</v>
      </c>
      <c r="F40" s="2">
        <v>3</v>
      </c>
      <c r="G40" s="2">
        <v>35</v>
      </c>
    </row>
    <row r="41" spans="1:7" x14ac:dyDescent="0.3">
      <c r="A41" s="2">
        <v>40</v>
      </c>
      <c r="B41" s="2">
        <v>1</v>
      </c>
      <c r="C41" s="2">
        <v>3</v>
      </c>
      <c r="D41" s="2">
        <v>5</v>
      </c>
      <c r="E41" s="2">
        <v>2</v>
      </c>
      <c r="F41" s="2">
        <v>1</v>
      </c>
      <c r="G41" s="2">
        <v>45</v>
      </c>
    </row>
    <row r="42" spans="1:7" x14ac:dyDescent="0.3">
      <c r="A42" s="2">
        <v>41</v>
      </c>
      <c r="B42" s="2">
        <v>1</v>
      </c>
      <c r="C42" s="2">
        <v>3</v>
      </c>
      <c r="D42" s="2">
        <v>5</v>
      </c>
      <c r="E42" s="2">
        <v>2</v>
      </c>
      <c r="F42" s="2">
        <v>2</v>
      </c>
      <c r="G42" s="2">
        <v>40</v>
      </c>
    </row>
    <row r="43" spans="1:7" x14ac:dyDescent="0.3">
      <c r="A43" s="2">
        <v>42</v>
      </c>
      <c r="B43" s="2">
        <v>1</v>
      </c>
      <c r="C43" s="2">
        <v>3</v>
      </c>
      <c r="D43" s="2">
        <v>5</v>
      </c>
      <c r="E43" s="2">
        <v>2</v>
      </c>
      <c r="F43" s="2">
        <v>3</v>
      </c>
      <c r="G43" s="2">
        <v>35</v>
      </c>
    </row>
    <row r="44" spans="1:7" x14ac:dyDescent="0.3">
      <c r="A44" s="2">
        <v>43</v>
      </c>
      <c r="B44" s="2">
        <v>1</v>
      </c>
      <c r="C44" s="2">
        <v>3</v>
      </c>
      <c r="D44" s="2">
        <v>5</v>
      </c>
      <c r="E44" s="2">
        <v>3</v>
      </c>
      <c r="F44" s="2">
        <v>1</v>
      </c>
      <c r="G44" s="2">
        <v>45</v>
      </c>
    </row>
    <row r="45" spans="1:7" x14ac:dyDescent="0.3">
      <c r="A45" s="2">
        <v>44</v>
      </c>
      <c r="B45" s="2">
        <v>1</v>
      </c>
      <c r="C45" s="2">
        <v>3</v>
      </c>
      <c r="D45" s="2">
        <v>5</v>
      </c>
      <c r="E45" s="2">
        <v>3</v>
      </c>
      <c r="F45" s="2">
        <v>2</v>
      </c>
      <c r="G45" s="2">
        <v>40</v>
      </c>
    </row>
    <row r="46" spans="1:7" x14ac:dyDescent="0.3">
      <c r="A46" s="2">
        <v>45</v>
      </c>
      <c r="B46" s="2">
        <v>1</v>
      </c>
      <c r="C46" s="2">
        <v>3</v>
      </c>
      <c r="D46" s="2">
        <v>5</v>
      </c>
      <c r="E46" s="2">
        <v>3</v>
      </c>
      <c r="F46" s="2">
        <v>3</v>
      </c>
      <c r="G46" s="2">
        <v>35</v>
      </c>
    </row>
    <row r="47" spans="1:7" x14ac:dyDescent="0.3">
      <c r="A47" s="2">
        <v>46</v>
      </c>
      <c r="B47" s="2">
        <v>1</v>
      </c>
      <c r="C47" s="2">
        <v>3</v>
      </c>
      <c r="D47" s="2">
        <v>5</v>
      </c>
      <c r="E47" s="2">
        <v>4</v>
      </c>
      <c r="F47" s="2">
        <v>1</v>
      </c>
      <c r="G47" s="2">
        <v>45</v>
      </c>
    </row>
    <row r="48" spans="1:7" x14ac:dyDescent="0.3">
      <c r="A48" s="2">
        <v>47</v>
      </c>
      <c r="B48" s="2">
        <v>1</v>
      </c>
      <c r="C48" s="2">
        <v>3</v>
      </c>
      <c r="D48" s="2">
        <v>5</v>
      </c>
      <c r="E48" s="2">
        <v>4</v>
      </c>
      <c r="F48" s="2">
        <v>2</v>
      </c>
      <c r="G48" s="2">
        <v>40</v>
      </c>
    </row>
    <row r="49" spans="1:7" x14ac:dyDescent="0.3">
      <c r="A49" s="2">
        <v>48</v>
      </c>
      <c r="B49" s="2">
        <v>1</v>
      </c>
      <c r="C49" s="2">
        <v>3</v>
      </c>
      <c r="D49" s="2">
        <v>5</v>
      </c>
      <c r="E49" s="2">
        <v>4</v>
      </c>
      <c r="F49" s="2">
        <v>3</v>
      </c>
      <c r="G49" s="2">
        <v>35</v>
      </c>
    </row>
    <row r="50" spans="1:7" x14ac:dyDescent="0.3">
      <c r="A50" s="2">
        <v>49</v>
      </c>
      <c r="B50" s="2">
        <v>1</v>
      </c>
      <c r="C50" s="2">
        <v>3</v>
      </c>
      <c r="D50" s="2">
        <v>5</v>
      </c>
      <c r="E50" s="2">
        <v>5</v>
      </c>
      <c r="F50" s="2">
        <v>1</v>
      </c>
      <c r="G50" s="2">
        <v>45</v>
      </c>
    </row>
    <row r="51" spans="1:7" x14ac:dyDescent="0.3">
      <c r="A51" s="2">
        <v>50</v>
      </c>
      <c r="B51" s="2">
        <v>1</v>
      </c>
      <c r="C51" s="2">
        <v>3</v>
      </c>
      <c r="D51" s="2">
        <v>5</v>
      </c>
      <c r="E51" s="2">
        <v>5</v>
      </c>
      <c r="F51" s="2">
        <v>2</v>
      </c>
      <c r="G51" s="2">
        <v>40</v>
      </c>
    </row>
    <row r="52" spans="1:7" x14ac:dyDescent="0.3">
      <c r="A52" s="2">
        <v>51</v>
      </c>
      <c r="B52" s="2">
        <v>1</v>
      </c>
      <c r="C52" s="2">
        <v>3</v>
      </c>
      <c r="D52" s="2">
        <v>5</v>
      </c>
      <c r="E52" s="2">
        <v>5</v>
      </c>
      <c r="F52" s="2">
        <v>3</v>
      </c>
      <c r="G52" s="2">
        <v>35</v>
      </c>
    </row>
    <row r="53" spans="1:7" x14ac:dyDescent="0.3">
      <c r="A53" s="2">
        <v>52</v>
      </c>
      <c r="B53" s="2">
        <v>1</v>
      </c>
      <c r="C53" s="2">
        <v>3</v>
      </c>
      <c r="D53" s="2">
        <v>5</v>
      </c>
      <c r="E53" s="2">
        <v>6</v>
      </c>
      <c r="F53" s="2">
        <v>1</v>
      </c>
      <c r="G53" s="2">
        <v>45</v>
      </c>
    </row>
    <row r="54" spans="1:7" x14ac:dyDescent="0.3">
      <c r="A54" s="2">
        <v>53</v>
      </c>
      <c r="B54" s="2">
        <v>1</v>
      </c>
      <c r="C54" s="2">
        <v>3</v>
      </c>
      <c r="D54" s="2">
        <v>5</v>
      </c>
      <c r="E54" s="2">
        <v>6</v>
      </c>
      <c r="F54" s="2">
        <v>2</v>
      </c>
      <c r="G54" s="2">
        <v>40</v>
      </c>
    </row>
    <row r="55" spans="1:7" x14ac:dyDescent="0.3">
      <c r="A55" s="2">
        <v>54</v>
      </c>
      <c r="B55" s="2">
        <v>1</v>
      </c>
      <c r="C55" s="2">
        <v>3</v>
      </c>
      <c r="D55" s="2">
        <v>5</v>
      </c>
      <c r="E55" s="2">
        <v>6</v>
      </c>
      <c r="F55" s="2">
        <v>3</v>
      </c>
      <c r="G55" s="2">
        <v>35</v>
      </c>
    </row>
    <row r="56" spans="1:7" x14ac:dyDescent="0.3">
      <c r="A56" s="2">
        <v>55</v>
      </c>
      <c r="B56" s="2">
        <v>1</v>
      </c>
      <c r="C56" s="2">
        <v>3</v>
      </c>
      <c r="D56" s="2">
        <v>5</v>
      </c>
      <c r="E56" s="2">
        <v>7</v>
      </c>
      <c r="F56" s="2">
        <v>1</v>
      </c>
      <c r="G56" s="2">
        <v>50</v>
      </c>
    </row>
    <row r="57" spans="1:7" x14ac:dyDescent="0.3">
      <c r="A57" s="2">
        <v>56</v>
      </c>
      <c r="B57" s="2">
        <v>1</v>
      </c>
      <c r="C57" s="2">
        <v>3</v>
      </c>
      <c r="D57" s="2">
        <v>5</v>
      </c>
      <c r="E57" s="2">
        <v>7</v>
      </c>
      <c r="F57" s="2">
        <v>2</v>
      </c>
      <c r="G57" s="2">
        <v>45</v>
      </c>
    </row>
    <row r="58" spans="1:7" x14ac:dyDescent="0.3">
      <c r="A58" s="2">
        <v>57</v>
      </c>
      <c r="B58" s="2">
        <v>1</v>
      </c>
      <c r="C58" s="2">
        <v>3</v>
      </c>
      <c r="D58" s="2">
        <v>5</v>
      </c>
      <c r="E58" s="2">
        <v>7</v>
      </c>
      <c r="F58" s="2">
        <v>3</v>
      </c>
      <c r="G58" s="2">
        <v>40</v>
      </c>
    </row>
    <row r="59" spans="1:7" x14ac:dyDescent="0.3">
      <c r="A59" s="2">
        <v>58</v>
      </c>
      <c r="B59" s="2">
        <v>1</v>
      </c>
      <c r="C59" s="2">
        <v>3</v>
      </c>
      <c r="D59" s="2">
        <v>5</v>
      </c>
      <c r="E59" s="2">
        <v>8</v>
      </c>
      <c r="F59" s="2">
        <v>1</v>
      </c>
      <c r="G59" s="2">
        <v>50</v>
      </c>
    </row>
    <row r="60" spans="1:7" x14ac:dyDescent="0.3">
      <c r="A60" s="2">
        <v>59</v>
      </c>
      <c r="B60" s="2">
        <v>1</v>
      </c>
      <c r="C60" s="2">
        <v>3</v>
      </c>
      <c r="D60" s="2">
        <v>5</v>
      </c>
      <c r="E60" s="2">
        <v>8</v>
      </c>
      <c r="F60" s="2">
        <v>2</v>
      </c>
      <c r="G60" s="2">
        <v>45</v>
      </c>
    </row>
    <row r="61" spans="1:7" x14ac:dyDescent="0.3">
      <c r="A61" s="2">
        <v>60</v>
      </c>
      <c r="B61" s="2">
        <v>1</v>
      </c>
      <c r="C61" s="2">
        <v>3</v>
      </c>
      <c r="D61" s="2">
        <v>5</v>
      </c>
      <c r="E61" s="2">
        <v>8</v>
      </c>
      <c r="F61" s="2">
        <v>3</v>
      </c>
      <c r="G61" s="2">
        <v>40</v>
      </c>
    </row>
    <row r="62" spans="1:7" x14ac:dyDescent="0.3">
      <c r="A62" s="2">
        <v>61</v>
      </c>
      <c r="B62" s="2">
        <v>1</v>
      </c>
      <c r="C62" s="2">
        <v>3</v>
      </c>
      <c r="D62" s="2">
        <v>5</v>
      </c>
      <c r="E62" s="2">
        <v>9</v>
      </c>
      <c r="F62" s="2">
        <v>1</v>
      </c>
      <c r="G62" s="2">
        <v>50</v>
      </c>
    </row>
    <row r="63" spans="1:7" x14ac:dyDescent="0.3">
      <c r="A63" s="2">
        <v>62</v>
      </c>
      <c r="B63" s="2">
        <v>1</v>
      </c>
      <c r="C63" s="2">
        <v>3</v>
      </c>
      <c r="D63" s="2">
        <v>5</v>
      </c>
      <c r="E63" s="2">
        <v>9</v>
      </c>
      <c r="F63" s="2">
        <v>2</v>
      </c>
      <c r="G63" s="2">
        <v>45</v>
      </c>
    </row>
    <row r="64" spans="1:7" x14ac:dyDescent="0.3">
      <c r="A64" s="2">
        <v>63</v>
      </c>
      <c r="B64" s="2">
        <v>1</v>
      </c>
      <c r="C64" s="2">
        <v>3</v>
      </c>
      <c r="D64" s="2">
        <v>5</v>
      </c>
      <c r="E64" s="2">
        <v>9</v>
      </c>
      <c r="F64" s="2">
        <v>3</v>
      </c>
      <c r="G64" s="2">
        <v>40</v>
      </c>
    </row>
    <row r="65" spans="1:7" x14ac:dyDescent="0.3">
      <c r="A65" s="2">
        <v>64</v>
      </c>
      <c r="B65" s="2">
        <v>1</v>
      </c>
      <c r="C65" s="2">
        <v>3</v>
      </c>
      <c r="D65" s="2">
        <v>5</v>
      </c>
      <c r="E65" s="2">
        <v>10</v>
      </c>
      <c r="F65" s="2">
        <v>1</v>
      </c>
      <c r="G65" s="2">
        <v>50</v>
      </c>
    </row>
    <row r="66" spans="1:7" x14ac:dyDescent="0.3">
      <c r="A66" s="2">
        <v>65</v>
      </c>
      <c r="B66" s="2">
        <v>1</v>
      </c>
      <c r="C66" s="2">
        <v>3</v>
      </c>
      <c r="D66" s="2">
        <v>5</v>
      </c>
      <c r="E66" s="2">
        <v>10</v>
      </c>
      <c r="F66" s="2">
        <v>2</v>
      </c>
      <c r="G66" s="2">
        <v>45</v>
      </c>
    </row>
    <row r="67" spans="1:7" x14ac:dyDescent="0.3">
      <c r="A67" s="2">
        <v>66</v>
      </c>
      <c r="B67" s="2">
        <v>1</v>
      </c>
      <c r="C67" s="2">
        <v>3</v>
      </c>
      <c r="D67" s="2">
        <v>5</v>
      </c>
      <c r="E67" s="2">
        <v>10</v>
      </c>
      <c r="F67" s="2">
        <v>3</v>
      </c>
      <c r="G67" s="2">
        <v>40</v>
      </c>
    </row>
    <row r="68" spans="1:7" x14ac:dyDescent="0.3">
      <c r="A68" s="2">
        <v>67</v>
      </c>
      <c r="B68" s="2">
        <v>1</v>
      </c>
      <c r="C68" s="2">
        <v>3</v>
      </c>
      <c r="D68" s="2">
        <v>5</v>
      </c>
      <c r="E68" s="2">
        <v>11</v>
      </c>
      <c r="F68" s="2">
        <v>1</v>
      </c>
      <c r="G68" s="2">
        <v>58</v>
      </c>
    </row>
    <row r="69" spans="1:7" x14ac:dyDescent="0.3">
      <c r="A69" s="2">
        <v>68</v>
      </c>
      <c r="B69" s="2">
        <v>1</v>
      </c>
      <c r="C69" s="2">
        <v>3</v>
      </c>
      <c r="D69" s="2">
        <v>5</v>
      </c>
      <c r="E69" s="2">
        <v>11</v>
      </c>
      <c r="F69" s="2">
        <v>2</v>
      </c>
      <c r="G69" s="2">
        <v>53</v>
      </c>
    </row>
    <row r="70" spans="1:7" x14ac:dyDescent="0.3">
      <c r="A70" s="2">
        <v>69</v>
      </c>
      <c r="B70" s="2">
        <v>1</v>
      </c>
      <c r="C70" s="2">
        <v>3</v>
      </c>
      <c r="D70" s="2">
        <v>5</v>
      </c>
      <c r="E70" s="2">
        <v>11</v>
      </c>
      <c r="F70" s="2">
        <v>3</v>
      </c>
      <c r="G70" s="2">
        <v>48</v>
      </c>
    </row>
    <row r="71" spans="1:7" x14ac:dyDescent="0.3">
      <c r="A71" s="2">
        <v>70</v>
      </c>
      <c r="B71" s="2">
        <v>1</v>
      </c>
      <c r="C71" s="2">
        <v>3</v>
      </c>
      <c r="D71" s="2">
        <v>5</v>
      </c>
      <c r="E71" s="2">
        <v>12</v>
      </c>
      <c r="F71" s="2">
        <v>1</v>
      </c>
      <c r="G71" s="2">
        <v>60</v>
      </c>
    </row>
    <row r="72" spans="1:7" x14ac:dyDescent="0.3">
      <c r="A72" s="2">
        <v>71</v>
      </c>
      <c r="B72" s="2">
        <v>1</v>
      </c>
      <c r="C72" s="2">
        <v>3</v>
      </c>
      <c r="D72" s="2">
        <v>5</v>
      </c>
      <c r="E72" s="2">
        <v>12</v>
      </c>
      <c r="F72" s="2">
        <v>2</v>
      </c>
      <c r="G72" s="2">
        <v>55</v>
      </c>
    </row>
    <row r="73" spans="1:7" x14ac:dyDescent="0.3">
      <c r="A73" s="2">
        <v>72</v>
      </c>
      <c r="B73" s="2">
        <v>1</v>
      </c>
      <c r="C73" s="2">
        <v>3</v>
      </c>
      <c r="D73" s="2">
        <v>5</v>
      </c>
      <c r="E73" s="2">
        <v>12</v>
      </c>
      <c r="F73" s="2">
        <v>3</v>
      </c>
      <c r="G73" s="2">
        <v>50</v>
      </c>
    </row>
    <row r="74" spans="1:7" x14ac:dyDescent="0.3">
      <c r="A74" s="2">
        <v>73</v>
      </c>
      <c r="B74" s="2">
        <v>1</v>
      </c>
      <c r="C74" s="2">
        <v>4</v>
      </c>
      <c r="D74" s="2">
        <v>4</v>
      </c>
      <c r="E74" s="2">
        <v>1</v>
      </c>
      <c r="F74" s="2">
        <v>1</v>
      </c>
      <c r="G74" s="2">
        <v>45</v>
      </c>
    </row>
    <row r="75" spans="1:7" x14ac:dyDescent="0.3">
      <c r="A75" s="2">
        <v>74</v>
      </c>
      <c r="B75" s="2">
        <v>1</v>
      </c>
      <c r="C75" s="2">
        <v>4</v>
      </c>
      <c r="D75" s="2">
        <v>4</v>
      </c>
      <c r="E75" s="2">
        <v>1</v>
      </c>
      <c r="F75" s="2">
        <v>2</v>
      </c>
      <c r="G75" s="2">
        <v>40</v>
      </c>
    </row>
    <row r="76" spans="1:7" x14ac:dyDescent="0.3">
      <c r="A76" s="2">
        <v>75</v>
      </c>
      <c r="B76" s="2">
        <v>1</v>
      </c>
      <c r="C76" s="2">
        <v>4</v>
      </c>
      <c r="D76" s="2">
        <v>4</v>
      </c>
      <c r="E76" s="2">
        <v>1</v>
      </c>
      <c r="F76" s="2">
        <v>3</v>
      </c>
      <c r="G76" s="2">
        <v>35</v>
      </c>
    </row>
    <row r="77" spans="1:7" x14ac:dyDescent="0.3">
      <c r="A77" s="2">
        <v>76</v>
      </c>
      <c r="B77" s="2">
        <v>1</v>
      </c>
      <c r="C77" s="2">
        <v>4</v>
      </c>
      <c r="D77" s="2">
        <v>4</v>
      </c>
      <c r="E77" s="2">
        <v>2</v>
      </c>
      <c r="F77" s="2">
        <v>1</v>
      </c>
      <c r="G77" s="2">
        <v>45</v>
      </c>
    </row>
    <row r="78" spans="1:7" x14ac:dyDescent="0.3">
      <c r="A78" s="2">
        <v>77</v>
      </c>
      <c r="B78" s="2">
        <v>1</v>
      </c>
      <c r="C78" s="2">
        <v>4</v>
      </c>
      <c r="D78" s="2">
        <v>4</v>
      </c>
      <c r="E78" s="2">
        <v>2</v>
      </c>
      <c r="F78" s="2">
        <v>2</v>
      </c>
      <c r="G78" s="2">
        <v>40</v>
      </c>
    </row>
    <row r="79" spans="1:7" x14ac:dyDescent="0.3">
      <c r="A79" s="2">
        <v>78</v>
      </c>
      <c r="B79" s="2">
        <v>1</v>
      </c>
      <c r="C79" s="2">
        <v>4</v>
      </c>
      <c r="D79" s="2">
        <v>4</v>
      </c>
      <c r="E79" s="2">
        <v>2</v>
      </c>
      <c r="F79" s="2">
        <v>3</v>
      </c>
      <c r="G79" s="2">
        <v>35</v>
      </c>
    </row>
    <row r="80" spans="1:7" x14ac:dyDescent="0.3">
      <c r="A80" s="2">
        <v>79</v>
      </c>
      <c r="B80" s="2">
        <v>1</v>
      </c>
      <c r="C80" s="2">
        <v>4</v>
      </c>
      <c r="D80" s="2">
        <v>4</v>
      </c>
      <c r="E80" s="2">
        <v>3</v>
      </c>
      <c r="F80" s="2">
        <v>1</v>
      </c>
      <c r="G80" s="2">
        <v>45</v>
      </c>
    </row>
    <row r="81" spans="1:7" x14ac:dyDescent="0.3">
      <c r="A81" s="2">
        <v>80</v>
      </c>
      <c r="B81" s="2">
        <v>1</v>
      </c>
      <c r="C81" s="2">
        <v>4</v>
      </c>
      <c r="D81" s="2">
        <v>4</v>
      </c>
      <c r="E81" s="2">
        <v>3</v>
      </c>
      <c r="F81" s="2">
        <v>2</v>
      </c>
      <c r="G81" s="2">
        <v>40</v>
      </c>
    </row>
    <row r="82" spans="1:7" x14ac:dyDescent="0.3">
      <c r="A82" s="2">
        <v>81</v>
      </c>
      <c r="B82" s="2">
        <v>1</v>
      </c>
      <c r="C82" s="2">
        <v>4</v>
      </c>
      <c r="D82" s="2">
        <v>4</v>
      </c>
      <c r="E82" s="2">
        <v>3</v>
      </c>
      <c r="F82" s="2">
        <v>3</v>
      </c>
      <c r="G82" s="2">
        <v>35</v>
      </c>
    </row>
    <row r="83" spans="1:7" x14ac:dyDescent="0.3">
      <c r="A83" s="2">
        <v>82</v>
      </c>
      <c r="B83" s="2">
        <v>1</v>
      </c>
      <c r="C83" s="2">
        <v>4</v>
      </c>
      <c r="D83" s="2">
        <v>4</v>
      </c>
      <c r="E83" s="2">
        <v>4</v>
      </c>
      <c r="F83" s="2">
        <v>1</v>
      </c>
      <c r="G83" s="2">
        <v>45</v>
      </c>
    </row>
    <row r="84" spans="1:7" x14ac:dyDescent="0.3">
      <c r="A84" s="2">
        <v>83</v>
      </c>
      <c r="B84" s="2">
        <v>1</v>
      </c>
      <c r="C84" s="2">
        <v>4</v>
      </c>
      <c r="D84" s="2">
        <v>4</v>
      </c>
      <c r="E84" s="2">
        <v>4</v>
      </c>
      <c r="F84" s="2">
        <v>2</v>
      </c>
      <c r="G84" s="2">
        <v>40</v>
      </c>
    </row>
    <row r="85" spans="1:7" x14ac:dyDescent="0.3">
      <c r="A85" s="2">
        <v>84</v>
      </c>
      <c r="B85" s="2">
        <v>1</v>
      </c>
      <c r="C85" s="2">
        <v>4</v>
      </c>
      <c r="D85" s="2">
        <v>4</v>
      </c>
      <c r="E85" s="2">
        <v>4</v>
      </c>
      <c r="F85" s="2">
        <v>3</v>
      </c>
      <c r="G85" s="2">
        <v>35</v>
      </c>
    </row>
    <row r="86" spans="1:7" x14ac:dyDescent="0.3">
      <c r="A86" s="2">
        <v>85</v>
      </c>
      <c r="B86" s="2">
        <v>1</v>
      </c>
      <c r="C86" s="2">
        <v>4</v>
      </c>
      <c r="D86" s="2">
        <v>4</v>
      </c>
      <c r="E86" s="2">
        <v>5</v>
      </c>
      <c r="F86" s="2">
        <v>1</v>
      </c>
      <c r="G86" s="2">
        <v>45</v>
      </c>
    </row>
    <row r="87" spans="1:7" x14ac:dyDescent="0.3">
      <c r="A87" s="2">
        <v>86</v>
      </c>
      <c r="B87" s="2">
        <v>1</v>
      </c>
      <c r="C87" s="2">
        <v>4</v>
      </c>
      <c r="D87" s="2">
        <v>4</v>
      </c>
      <c r="E87" s="2">
        <v>5</v>
      </c>
      <c r="F87" s="2">
        <v>2</v>
      </c>
      <c r="G87" s="2">
        <v>40</v>
      </c>
    </row>
    <row r="88" spans="1:7" x14ac:dyDescent="0.3">
      <c r="A88" s="2">
        <v>87</v>
      </c>
      <c r="B88" s="2">
        <v>1</v>
      </c>
      <c r="C88" s="2">
        <v>4</v>
      </c>
      <c r="D88" s="2">
        <v>4</v>
      </c>
      <c r="E88" s="2">
        <v>5</v>
      </c>
      <c r="F88" s="2">
        <v>3</v>
      </c>
      <c r="G88" s="2">
        <v>35</v>
      </c>
    </row>
    <row r="89" spans="1:7" x14ac:dyDescent="0.3">
      <c r="A89" s="2">
        <v>88</v>
      </c>
      <c r="B89" s="2">
        <v>1</v>
      </c>
      <c r="C89" s="2">
        <v>4</v>
      </c>
      <c r="D89" s="2">
        <v>4</v>
      </c>
      <c r="E89" s="2">
        <v>6</v>
      </c>
      <c r="F89" s="2">
        <v>1</v>
      </c>
      <c r="G89" s="2">
        <v>45</v>
      </c>
    </row>
    <row r="90" spans="1:7" x14ac:dyDescent="0.3">
      <c r="A90" s="2">
        <v>89</v>
      </c>
      <c r="B90" s="2">
        <v>1</v>
      </c>
      <c r="C90" s="2">
        <v>4</v>
      </c>
      <c r="D90" s="2">
        <v>4</v>
      </c>
      <c r="E90" s="2">
        <v>6</v>
      </c>
      <c r="F90" s="2">
        <v>2</v>
      </c>
      <c r="G90" s="2">
        <v>40</v>
      </c>
    </row>
    <row r="91" spans="1:7" x14ac:dyDescent="0.3">
      <c r="A91" s="2">
        <v>90</v>
      </c>
      <c r="B91" s="2">
        <v>1</v>
      </c>
      <c r="C91" s="2">
        <v>4</v>
      </c>
      <c r="D91" s="2">
        <v>4</v>
      </c>
      <c r="E91" s="2">
        <v>6</v>
      </c>
      <c r="F91" s="2">
        <v>3</v>
      </c>
      <c r="G91" s="2">
        <v>35</v>
      </c>
    </row>
    <row r="92" spans="1:7" x14ac:dyDescent="0.3">
      <c r="A92" s="2">
        <v>91</v>
      </c>
      <c r="B92" s="2">
        <v>1</v>
      </c>
      <c r="C92" s="2">
        <v>4</v>
      </c>
      <c r="D92" s="2">
        <v>4</v>
      </c>
      <c r="E92" s="2">
        <v>7</v>
      </c>
      <c r="F92" s="2">
        <v>1</v>
      </c>
      <c r="G92" s="2">
        <v>50</v>
      </c>
    </row>
    <row r="93" spans="1:7" x14ac:dyDescent="0.3">
      <c r="A93" s="2">
        <v>92</v>
      </c>
      <c r="B93" s="2">
        <v>1</v>
      </c>
      <c r="C93" s="2">
        <v>4</v>
      </c>
      <c r="D93" s="2">
        <v>4</v>
      </c>
      <c r="E93" s="2">
        <v>7</v>
      </c>
      <c r="F93" s="2">
        <v>2</v>
      </c>
      <c r="G93" s="2">
        <v>45</v>
      </c>
    </row>
    <row r="94" spans="1:7" x14ac:dyDescent="0.3">
      <c r="A94" s="2">
        <v>93</v>
      </c>
      <c r="B94" s="2">
        <v>1</v>
      </c>
      <c r="C94" s="2">
        <v>4</v>
      </c>
      <c r="D94" s="2">
        <v>4</v>
      </c>
      <c r="E94" s="2">
        <v>7</v>
      </c>
      <c r="F94" s="2">
        <v>3</v>
      </c>
      <c r="G94" s="2">
        <v>40</v>
      </c>
    </row>
    <row r="95" spans="1:7" x14ac:dyDescent="0.3">
      <c r="A95" s="2">
        <v>94</v>
      </c>
      <c r="B95" s="2">
        <v>1</v>
      </c>
      <c r="C95" s="2">
        <v>4</v>
      </c>
      <c r="D95" s="2">
        <v>4</v>
      </c>
      <c r="E95" s="2">
        <v>8</v>
      </c>
      <c r="F95" s="2">
        <v>1</v>
      </c>
      <c r="G95" s="2">
        <v>50</v>
      </c>
    </row>
    <row r="96" spans="1:7" x14ac:dyDescent="0.3">
      <c r="A96" s="2">
        <v>95</v>
      </c>
      <c r="B96" s="2">
        <v>1</v>
      </c>
      <c r="C96" s="2">
        <v>4</v>
      </c>
      <c r="D96" s="2">
        <v>4</v>
      </c>
      <c r="E96" s="2">
        <v>8</v>
      </c>
      <c r="F96" s="2">
        <v>2</v>
      </c>
      <c r="G96" s="2">
        <v>45</v>
      </c>
    </row>
    <row r="97" spans="1:7" x14ac:dyDescent="0.3">
      <c r="A97" s="2">
        <v>96</v>
      </c>
      <c r="B97" s="2">
        <v>1</v>
      </c>
      <c r="C97" s="2">
        <v>4</v>
      </c>
      <c r="D97" s="2">
        <v>4</v>
      </c>
      <c r="E97" s="2">
        <v>8</v>
      </c>
      <c r="F97" s="2">
        <v>3</v>
      </c>
      <c r="G97" s="2">
        <v>40</v>
      </c>
    </row>
    <row r="98" spans="1:7" x14ac:dyDescent="0.3">
      <c r="A98" s="2">
        <v>97</v>
      </c>
      <c r="B98" s="2">
        <v>1</v>
      </c>
      <c r="C98" s="2">
        <v>4</v>
      </c>
      <c r="D98" s="2">
        <v>4</v>
      </c>
      <c r="E98" s="2">
        <v>9</v>
      </c>
      <c r="F98" s="2">
        <v>1</v>
      </c>
      <c r="G98" s="2">
        <v>50</v>
      </c>
    </row>
    <row r="99" spans="1:7" x14ac:dyDescent="0.3">
      <c r="A99" s="2">
        <v>98</v>
      </c>
      <c r="B99" s="2">
        <v>1</v>
      </c>
      <c r="C99" s="2">
        <v>4</v>
      </c>
      <c r="D99" s="2">
        <v>4</v>
      </c>
      <c r="E99" s="2">
        <v>9</v>
      </c>
      <c r="F99" s="2">
        <v>2</v>
      </c>
      <c r="G99" s="2">
        <v>45</v>
      </c>
    </row>
    <row r="100" spans="1:7" x14ac:dyDescent="0.3">
      <c r="A100" s="2">
        <v>99</v>
      </c>
      <c r="B100" s="2">
        <v>1</v>
      </c>
      <c r="C100" s="2">
        <v>4</v>
      </c>
      <c r="D100" s="2">
        <v>4</v>
      </c>
      <c r="E100" s="2">
        <v>9</v>
      </c>
      <c r="F100" s="2">
        <v>3</v>
      </c>
      <c r="G100" s="2">
        <v>40</v>
      </c>
    </row>
    <row r="101" spans="1:7" x14ac:dyDescent="0.3">
      <c r="A101" s="2">
        <v>100</v>
      </c>
      <c r="B101" s="2">
        <v>1</v>
      </c>
      <c r="C101" s="2">
        <v>4</v>
      </c>
      <c r="D101" s="2">
        <v>4</v>
      </c>
      <c r="E101" s="2">
        <v>10</v>
      </c>
      <c r="F101" s="2">
        <v>1</v>
      </c>
      <c r="G101" s="2">
        <v>50</v>
      </c>
    </row>
    <row r="102" spans="1:7" x14ac:dyDescent="0.3">
      <c r="A102" s="2">
        <v>101</v>
      </c>
      <c r="B102" s="2">
        <v>1</v>
      </c>
      <c r="C102" s="2">
        <v>4</v>
      </c>
      <c r="D102" s="2">
        <v>4</v>
      </c>
      <c r="E102" s="2">
        <v>10</v>
      </c>
      <c r="F102" s="2">
        <v>2</v>
      </c>
      <c r="G102" s="2">
        <v>45</v>
      </c>
    </row>
    <row r="103" spans="1:7" x14ac:dyDescent="0.3">
      <c r="A103" s="2">
        <v>102</v>
      </c>
      <c r="B103" s="2">
        <v>1</v>
      </c>
      <c r="C103" s="2">
        <v>4</v>
      </c>
      <c r="D103" s="2">
        <v>4</v>
      </c>
      <c r="E103" s="2">
        <v>10</v>
      </c>
      <c r="F103" s="2">
        <v>3</v>
      </c>
      <c r="G103" s="2">
        <v>40</v>
      </c>
    </row>
    <row r="104" spans="1:7" x14ac:dyDescent="0.3">
      <c r="A104" s="2">
        <v>103</v>
      </c>
      <c r="B104" s="2">
        <v>1</v>
      </c>
      <c r="C104" s="2">
        <v>4</v>
      </c>
      <c r="D104" s="2">
        <v>4</v>
      </c>
      <c r="E104" s="2">
        <v>11</v>
      </c>
      <c r="F104" s="2">
        <v>1</v>
      </c>
      <c r="G104" s="2">
        <v>58</v>
      </c>
    </row>
    <row r="105" spans="1:7" x14ac:dyDescent="0.3">
      <c r="A105" s="2">
        <v>104</v>
      </c>
      <c r="B105" s="2">
        <v>1</v>
      </c>
      <c r="C105" s="2">
        <v>4</v>
      </c>
      <c r="D105" s="2">
        <v>4</v>
      </c>
      <c r="E105" s="2">
        <v>11</v>
      </c>
      <c r="F105" s="2">
        <v>2</v>
      </c>
      <c r="G105" s="2">
        <v>53</v>
      </c>
    </row>
    <row r="106" spans="1:7" x14ac:dyDescent="0.3">
      <c r="A106" s="2">
        <v>105</v>
      </c>
      <c r="B106" s="2">
        <v>1</v>
      </c>
      <c r="C106" s="2">
        <v>4</v>
      </c>
      <c r="D106" s="2">
        <v>4</v>
      </c>
      <c r="E106" s="2">
        <v>11</v>
      </c>
      <c r="F106" s="2">
        <v>3</v>
      </c>
      <c r="G106" s="2">
        <v>48</v>
      </c>
    </row>
    <row r="107" spans="1:7" x14ac:dyDescent="0.3">
      <c r="A107" s="2">
        <v>106</v>
      </c>
      <c r="B107" s="2">
        <v>1</v>
      </c>
      <c r="C107" s="2">
        <v>4</v>
      </c>
      <c r="D107" s="2">
        <v>4</v>
      </c>
      <c r="E107" s="2">
        <v>12</v>
      </c>
      <c r="F107" s="2">
        <v>1</v>
      </c>
      <c r="G107" s="2">
        <v>60</v>
      </c>
    </row>
    <row r="108" spans="1:7" x14ac:dyDescent="0.3">
      <c r="A108" s="2">
        <v>107</v>
      </c>
      <c r="B108" s="2">
        <v>1</v>
      </c>
      <c r="C108" s="2">
        <v>4</v>
      </c>
      <c r="D108" s="2">
        <v>4</v>
      </c>
      <c r="E108" s="2">
        <v>12</v>
      </c>
      <c r="F108" s="2">
        <v>2</v>
      </c>
      <c r="G108" s="2">
        <v>55</v>
      </c>
    </row>
    <row r="109" spans="1:7" x14ac:dyDescent="0.3">
      <c r="A109" s="2">
        <v>108</v>
      </c>
      <c r="B109" s="2">
        <v>1</v>
      </c>
      <c r="C109" s="2">
        <v>4</v>
      </c>
      <c r="D109" s="2">
        <v>4</v>
      </c>
      <c r="E109" s="2">
        <v>12</v>
      </c>
      <c r="F109" s="2">
        <v>3</v>
      </c>
      <c r="G109" s="2">
        <v>50</v>
      </c>
    </row>
    <row r="110" spans="1:7" x14ac:dyDescent="0.3">
      <c r="A110" s="2">
        <v>109</v>
      </c>
      <c r="B110" s="2">
        <v>1</v>
      </c>
      <c r="C110" s="2">
        <v>4</v>
      </c>
      <c r="D110" s="2">
        <v>5</v>
      </c>
      <c r="E110" s="2">
        <v>1</v>
      </c>
      <c r="F110" s="2">
        <v>1</v>
      </c>
      <c r="G110" s="2">
        <v>40</v>
      </c>
    </row>
    <row r="111" spans="1:7" x14ac:dyDescent="0.3">
      <c r="A111" s="2">
        <v>110</v>
      </c>
      <c r="B111" s="2">
        <v>1</v>
      </c>
      <c r="C111" s="2">
        <v>4</v>
      </c>
      <c r="D111" s="2">
        <v>5</v>
      </c>
      <c r="E111" s="2">
        <v>1</v>
      </c>
      <c r="F111" s="2">
        <v>2</v>
      </c>
      <c r="G111" s="2">
        <v>35</v>
      </c>
    </row>
    <row r="112" spans="1:7" x14ac:dyDescent="0.3">
      <c r="A112" s="2">
        <v>111</v>
      </c>
      <c r="B112" s="2">
        <v>1</v>
      </c>
      <c r="C112" s="2">
        <v>4</v>
      </c>
      <c r="D112" s="2">
        <v>5</v>
      </c>
      <c r="E112" s="2">
        <v>1</v>
      </c>
      <c r="F112" s="2">
        <v>3</v>
      </c>
      <c r="G112" s="2">
        <v>30</v>
      </c>
    </row>
    <row r="113" spans="1:7" x14ac:dyDescent="0.3">
      <c r="A113" s="2">
        <v>112</v>
      </c>
      <c r="B113" s="2">
        <v>1</v>
      </c>
      <c r="C113" s="2">
        <v>4</v>
      </c>
      <c r="D113" s="2">
        <v>5</v>
      </c>
      <c r="E113" s="2">
        <v>2</v>
      </c>
      <c r="F113" s="2">
        <v>1</v>
      </c>
      <c r="G113" s="2">
        <v>40</v>
      </c>
    </row>
    <row r="114" spans="1:7" x14ac:dyDescent="0.3">
      <c r="A114" s="2">
        <v>113</v>
      </c>
      <c r="B114" s="2">
        <v>1</v>
      </c>
      <c r="C114" s="2">
        <v>4</v>
      </c>
      <c r="D114" s="2">
        <v>5</v>
      </c>
      <c r="E114" s="2">
        <v>2</v>
      </c>
      <c r="F114" s="2">
        <v>2</v>
      </c>
      <c r="G114" s="2">
        <v>35</v>
      </c>
    </row>
    <row r="115" spans="1:7" x14ac:dyDescent="0.3">
      <c r="A115" s="2">
        <v>114</v>
      </c>
      <c r="B115" s="2">
        <v>1</v>
      </c>
      <c r="C115" s="2">
        <v>4</v>
      </c>
      <c r="D115" s="2">
        <v>5</v>
      </c>
      <c r="E115" s="2">
        <v>2</v>
      </c>
      <c r="F115" s="2">
        <v>3</v>
      </c>
      <c r="G115" s="2">
        <v>30</v>
      </c>
    </row>
    <row r="116" spans="1:7" x14ac:dyDescent="0.3">
      <c r="A116" s="2">
        <v>115</v>
      </c>
      <c r="B116" s="2">
        <v>1</v>
      </c>
      <c r="C116" s="2">
        <v>4</v>
      </c>
      <c r="D116" s="2">
        <v>5</v>
      </c>
      <c r="E116" s="2">
        <v>3</v>
      </c>
      <c r="F116" s="2">
        <v>1</v>
      </c>
      <c r="G116" s="2">
        <v>40</v>
      </c>
    </row>
    <row r="117" spans="1:7" x14ac:dyDescent="0.3">
      <c r="A117" s="2">
        <v>116</v>
      </c>
      <c r="B117" s="2">
        <v>1</v>
      </c>
      <c r="C117" s="2">
        <v>4</v>
      </c>
      <c r="D117" s="2">
        <v>5</v>
      </c>
      <c r="E117" s="2">
        <v>3</v>
      </c>
      <c r="F117" s="2">
        <v>2</v>
      </c>
      <c r="G117" s="2">
        <v>35</v>
      </c>
    </row>
    <row r="118" spans="1:7" x14ac:dyDescent="0.3">
      <c r="A118" s="2">
        <v>117</v>
      </c>
      <c r="B118" s="2">
        <v>1</v>
      </c>
      <c r="C118" s="2">
        <v>4</v>
      </c>
      <c r="D118" s="2">
        <v>5</v>
      </c>
      <c r="E118" s="2">
        <v>3</v>
      </c>
      <c r="F118" s="2">
        <v>3</v>
      </c>
      <c r="G118" s="2">
        <v>30</v>
      </c>
    </row>
    <row r="119" spans="1:7" x14ac:dyDescent="0.3">
      <c r="A119" s="2">
        <v>118</v>
      </c>
      <c r="B119" s="2">
        <v>1</v>
      </c>
      <c r="C119" s="2">
        <v>4</v>
      </c>
      <c r="D119" s="2">
        <v>5</v>
      </c>
      <c r="E119" s="2">
        <v>4</v>
      </c>
      <c r="F119" s="2">
        <v>1</v>
      </c>
      <c r="G119" s="2">
        <v>40</v>
      </c>
    </row>
    <row r="120" spans="1:7" x14ac:dyDescent="0.3">
      <c r="A120" s="2">
        <v>119</v>
      </c>
      <c r="B120" s="2">
        <v>1</v>
      </c>
      <c r="C120" s="2">
        <v>4</v>
      </c>
      <c r="D120" s="2">
        <v>5</v>
      </c>
      <c r="E120" s="2">
        <v>4</v>
      </c>
      <c r="F120" s="2">
        <v>2</v>
      </c>
      <c r="G120" s="2">
        <v>35</v>
      </c>
    </row>
    <row r="121" spans="1:7" x14ac:dyDescent="0.3">
      <c r="A121" s="2">
        <v>120</v>
      </c>
      <c r="B121" s="2">
        <v>1</v>
      </c>
      <c r="C121" s="2">
        <v>4</v>
      </c>
      <c r="D121" s="2">
        <v>5</v>
      </c>
      <c r="E121" s="2">
        <v>4</v>
      </c>
      <c r="F121" s="2">
        <v>3</v>
      </c>
      <c r="G121" s="2">
        <v>30</v>
      </c>
    </row>
    <row r="122" spans="1:7" x14ac:dyDescent="0.3">
      <c r="A122" s="2">
        <v>121</v>
      </c>
      <c r="B122" s="2">
        <v>1</v>
      </c>
      <c r="C122" s="2">
        <v>4</v>
      </c>
      <c r="D122" s="2">
        <v>5</v>
      </c>
      <c r="E122" s="2">
        <v>5</v>
      </c>
      <c r="F122" s="2">
        <v>1</v>
      </c>
      <c r="G122" s="2">
        <v>40</v>
      </c>
    </row>
    <row r="123" spans="1:7" x14ac:dyDescent="0.3">
      <c r="A123" s="2">
        <v>122</v>
      </c>
      <c r="B123" s="2">
        <v>1</v>
      </c>
      <c r="C123" s="2">
        <v>4</v>
      </c>
      <c r="D123" s="2">
        <v>5</v>
      </c>
      <c r="E123" s="2">
        <v>5</v>
      </c>
      <c r="F123" s="2">
        <v>2</v>
      </c>
      <c r="G123" s="2">
        <v>35</v>
      </c>
    </row>
    <row r="124" spans="1:7" x14ac:dyDescent="0.3">
      <c r="A124" s="2">
        <v>123</v>
      </c>
      <c r="B124" s="2">
        <v>1</v>
      </c>
      <c r="C124" s="2">
        <v>4</v>
      </c>
      <c r="D124" s="2">
        <v>5</v>
      </c>
      <c r="E124" s="2">
        <v>5</v>
      </c>
      <c r="F124" s="2">
        <v>3</v>
      </c>
      <c r="G124" s="2">
        <v>30</v>
      </c>
    </row>
    <row r="125" spans="1:7" x14ac:dyDescent="0.3">
      <c r="A125" s="2">
        <v>124</v>
      </c>
      <c r="B125" s="2">
        <v>1</v>
      </c>
      <c r="C125" s="2">
        <v>4</v>
      </c>
      <c r="D125" s="2">
        <v>5</v>
      </c>
      <c r="E125" s="2">
        <v>6</v>
      </c>
      <c r="F125" s="2">
        <v>1</v>
      </c>
      <c r="G125" s="2">
        <v>40</v>
      </c>
    </row>
    <row r="126" spans="1:7" x14ac:dyDescent="0.3">
      <c r="A126" s="2">
        <v>125</v>
      </c>
      <c r="B126" s="2">
        <v>1</v>
      </c>
      <c r="C126" s="2">
        <v>4</v>
      </c>
      <c r="D126" s="2">
        <v>5</v>
      </c>
      <c r="E126" s="2">
        <v>6</v>
      </c>
      <c r="F126" s="2">
        <v>2</v>
      </c>
      <c r="G126" s="2">
        <v>35</v>
      </c>
    </row>
    <row r="127" spans="1:7" x14ac:dyDescent="0.3">
      <c r="A127" s="2">
        <v>126</v>
      </c>
      <c r="B127" s="2">
        <v>1</v>
      </c>
      <c r="C127" s="2">
        <v>4</v>
      </c>
      <c r="D127" s="2">
        <v>5</v>
      </c>
      <c r="E127" s="2">
        <v>6</v>
      </c>
      <c r="F127" s="2">
        <v>3</v>
      </c>
      <c r="G127" s="2">
        <v>30</v>
      </c>
    </row>
    <row r="128" spans="1:7" x14ac:dyDescent="0.3">
      <c r="A128" s="2">
        <v>127</v>
      </c>
      <c r="B128" s="2">
        <v>1</v>
      </c>
      <c r="C128" s="2">
        <v>4</v>
      </c>
      <c r="D128" s="2">
        <v>5</v>
      </c>
      <c r="E128" s="2">
        <v>7</v>
      </c>
      <c r="F128" s="2">
        <v>1</v>
      </c>
      <c r="G128" s="2">
        <v>45</v>
      </c>
    </row>
    <row r="129" spans="1:7" x14ac:dyDescent="0.3">
      <c r="A129" s="2">
        <v>128</v>
      </c>
      <c r="B129" s="2">
        <v>1</v>
      </c>
      <c r="C129" s="2">
        <v>4</v>
      </c>
      <c r="D129" s="2">
        <v>5</v>
      </c>
      <c r="E129" s="2">
        <v>7</v>
      </c>
      <c r="F129" s="2">
        <v>2</v>
      </c>
      <c r="G129" s="2">
        <v>40</v>
      </c>
    </row>
    <row r="130" spans="1:7" x14ac:dyDescent="0.3">
      <c r="A130" s="2">
        <v>129</v>
      </c>
      <c r="B130" s="2">
        <v>1</v>
      </c>
      <c r="C130" s="2">
        <v>4</v>
      </c>
      <c r="D130" s="2">
        <v>5</v>
      </c>
      <c r="E130" s="2">
        <v>7</v>
      </c>
      <c r="F130" s="2">
        <v>3</v>
      </c>
      <c r="G130" s="2">
        <v>35</v>
      </c>
    </row>
    <row r="131" spans="1:7" x14ac:dyDescent="0.3">
      <c r="A131" s="2">
        <v>130</v>
      </c>
      <c r="B131" s="2">
        <v>1</v>
      </c>
      <c r="C131" s="2">
        <v>4</v>
      </c>
      <c r="D131" s="2">
        <v>5</v>
      </c>
      <c r="E131" s="2">
        <v>8</v>
      </c>
      <c r="F131" s="2">
        <v>1</v>
      </c>
      <c r="G131" s="2">
        <v>45</v>
      </c>
    </row>
    <row r="132" spans="1:7" x14ac:dyDescent="0.3">
      <c r="A132" s="2">
        <v>131</v>
      </c>
      <c r="B132" s="2">
        <v>1</v>
      </c>
      <c r="C132" s="2">
        <v>4</v>
      </c>
      <c r="D132" s="2">
        <v>5</v>
      </c>
      <c r="E132" s="2">
        <v>8</v>
      </c>
      <c r="F132" s="2">
        <v>2</v>
      </c>
      <c r="G132" s="2">
        <v>40</v>
      </c>
    </row>
    <row r="133" spans="1:7" x14ac:dyDescent="0.3">
      <c r="A133" s="2">
        <v>132</v>
      </c>
      <c r="B133" s="2">
        <v>1</v>
      </c>
      <c r="C133" s="2">
        <v>4</v>
      </c>
      <c r="D133" s="2">
        <v>5</v>
      </c>
      <c r="E133" s="2">
        <v>8</v>
      </c>
      <c r="F133" s="2">
        <v>3</v>
      </c>
      <c r="G133" s="2">
        <v>35</v>
      </c>
    </row>
    <row r="134" spans="1:7" x14ac:dyDescent="0.3">
      <c r="A134" s="2">
        <v>133</v>
      </c>
      <c r="B134" s="2">
        <v>1</v>
      </c>
      <c r="C134" s="2">
        <v>4</v>
      </c>
      <c r="D134" s="2">
        <v>5</v>
      </c>
      <c r="E134" s="2">
        <v>9</v>
      </c>
      <c r="F134" s="2">
        <v>1</v>
      </c>
      <c r="G134" s="2">
        <v>45</v>
      </c>
    </row>
    <row r="135" spans="1:7" x14ac:dyDescent="0.3">
      <c r="A135" s="2">
        <v>134</v>
      </c>
      <c r="B135" s="2">
        <v>1</v>
      </c>
      <c r="C135" s="2">
        <v>4</v>
      </c>
      <c r="D135" s="2">
        <v>5</v>
      </c>
      <c r="E135" s="2">
        <v>9</v>
      </c>
      <c r="F135" s="2">
        <v>2</v>
      </c>
      <c r="G135" s="2">
        <v>40</v>
      </c>
    </row>
    <row r="136" spans="1:7" x14ac:dyDescent="0.3">
      <c r="A136" s="2">
        <v>135</v>
      </c>
      <c r="B136" s="2">
        <v>1</v>
      </c>
      <c r="C136" s="2">
        <v>4</v>
      </c>
      <c r="D136" s="2">
        <v>5</v>
      </c>
      <c r="E136" s="2">
        <v>9</v>
      </c>
      <c r="F136" s="2">
        <v>3</v>
      </c>
      <c r="G136" s="2">
        <v>35</v>
      </c>
    </row>
    <row r="137" spans="1:7" x14ac:dyDescent="0.3">
      <c r="A137" s="2">
        <v>136</v>
      </c>
      <c r="B137" s="2">
        <v>1</v>
      </c>
      <c r="C137" s="2">
        <v>4</v>
      </c>
      <c r="D137" s="2">
        <v>5</v>
      </c>
      <c r="E137" s="2">
        <v>10</v>
      </c>
      <c r="F137" s="2">
        <v>1</v>
      </c>
      <c r="G137" s="2">
        <v>45</v>
      </c>
    </row>
    <row r="138" spans="1:7" x14ac:dyDescent="0.3">
      <c r="A138" s="2">
        <v>137</v>
      </c>
      <c r="B138" s="2">
        <v>1</v>
      </c>
      <c r="C138" s="2">
        <v>4</v>
      </c>
      <c r="D138" s="2">
        <v>5</v>
      </c>
      <c r="E138" s="2">
        <v>10</v>
      </c>
      <c r="F138" s="2">
        <v>2</v>
      </c>
      <c r="G138" s="2">
        <v>40</v>
      </c>
    </row>
    <row r="139" spans="1:7" x14ac:dyDescent="0.3">
      <c r="A139" s="2">
        <v>138</v>
      </c>
      <c r="B139" s="2">
        <v>1</v>
      </c>
      <c r="C139" s="2">
        <v>4</v>
      </c>
      <c r="D139" s="2">
        <v>5</v>
      </c>
      <c r="E139" s="2">
        <v>10</v>
      </c>
      <c r="F139" s="2">
        <v>3</v>
      </c>
      <c r="G139" s="2">
        <v>35</v>
      </c>
    </row>
    <row r="140" spans="1:7" x14ac:dyDescent="0.3">
      <c r="A140" s="2">
        <v>139</v>
      </c>
      <c r="B140" s="2">
        <v>1</v>
      </c>
      <c r="C140" s="2">
        <v>4</v>
      </c>
      <c r="D140" s="2">
        <v>5</v>
      </c>
      <c r="E140" s="2">
        <v>11</v>
      </c>
      <c r="F140" s="2">
        <v>1</v>
      </c>
      <c r="G140" s="2">
        <v>53</v>
      </c>
    </row>
    <row r="141" spans="1:7" x14ac:dyDescent="0.3">
      <c r="A141" s="2">
        <v>140</v>
      </c>
      <c r="B141" s="2">
        <v>1</v>
      </c>
      <c r="C141" s="2">
        <v>4</v>
      </c>
      <c r="D141" s="2">
        <v>5</v>
      </c>
      <c r="E141" s="2">
        <v>11</v>
      </c>
      <c r="F141" s="2">
        <v>2</v>
      </c>
      <c r="G141" s="2">
        <v>48</v>
      </c>
    </row>
    <row r="142" spans="1:7" x14ac:dyDescent="0.3">
      <c r="A142" s="2">
        <v>141</v>
      </c>
      <c r="B142" s="2">
        <v>1</v>
      </c>
      <c r="C142" s="2">
        <v>4</v>
      </c>
      <c r="D142" s="2">
        <v>5</v>
      </c>
      <c r="E142" s="2">
        <v>11</v>
      </c>
      <c r="F142" s="2">
        <v>3</v>
      </c>
      <c r="G142" s="2">
        <v>43</v>
      </c>
    </row>
    <row r="143" spans="1:7" x14ac:dyDescent="0.3">
      <c r="A143" s="2">
        <v>142</v>
      </c>
      <c r="B143" s="2">
        <v>1</v>
      </c>
      <c r="C143" s="2">
        <v>4</v>
      </c>
      <c r="D143" s="2">
        <v>5</v>
      </c>
      <c r="E143" s="2">
        <v>12</v>
      </c>
      <c r="F143" s="2">
        <v>1</v>
      </c>
      <c r="G143" s="2">
        <v>55</v>
      </c>
    </row>
    <row r="144" spans="1:7" x14ac:dyDescent="0.3">
      <c r="A144" s="2">
        <v>143</v>
      </c>
      <c r="B144" s="2">
        <v>1</v>
      </c>
      <c r="C144" s="2">
        <v>4</v>
      </c>
      <c r="D144" s="2">
        <v>5</v>
      </c>
      <c r="E144" s="2">
        <v>12</v>
      </c>
      <c r="F144" s="2">
        <v>2</v>
      </c>
      <c r="G144" s="2">
        <v>50</v>
      </c>
    </row>
    <row r="145" spans="1:7" x14ac:dyDescent="0.3">
      <c r="A145" s="2">
        <v>144</v>
      </c>
      <c r="B145" s="2">
        <v>1</v>
      </c>
      <c r="C145" s="2">
        <v>4</v>
      </c>
      <c r="D145" s="2">
        <v>5</v>
      </c>
      <c r="E145" s="2">
        <v>12</v>
      </c>
      <c r="F145" s="2">
        <v>3</v>
      </c>
      <c r="G145" s="2">
        <v>45</v>
      </c>
    </row>
    <row r="146" spans="1:7" x14ac:dyDescent="0.3">
      <c r="A146" s="2">
        <v>145</v>
      </c>
      <c r="B146" s="2">
        <v>2</v>
      </c>
      <c r="C146" s="2">
        <v>3</v>
      </c>
      <c r="D146" s="2">
        <v>4</v>
      </c>
      <c r="E146" s="2">
        <v>1</v>
      </c>
      <c r="F146" s="2">
        <v>1</v>
      </c>
      <c r="G146" s="2">
        <v>45</v>
      </c>
    </row>
    <row r="147" spans="1:7" x14ac:dyDescent="0.3">
      <c r="A147" s="2">
        <v>146</v>
      </c>
      <c r="B147" s="2">
        <v>2</v>
      </c>
      <c r="C147" s="2">
        <v>3</v>
      </c>
      <c r="D147" s="2">
        <v>4</v>
      </c>
      <c r="E147" s="2">
        <v>1</v>
      </c>
      <c r="F147" s="2">
        <v>2</v>
      </c>
      <c r="G147" s="2">
        <v>40</v>
      </c>
    </row>
    <row r="148" spans="1:7" x14ac:dyDescent="0.3">
      <c r="A148" s="2">
        <v>147</v>
      </c>
      <c r="B148" s="2">
        <v>2</v>
      </c>
      <c r="C148" s="2">
        <v>3</v>
      </c>
      <c r="D148" s="2">
        <v>4</v>
      </c>
      <c r="E148" s="2">
        <v>1</v>
      </c>
      <c r="F148" s="2">
        <v>3</v>
      </c>
      <c r="G148" s="2">
        <v>35</v>
      </c>
    </row>
    <row r="149" spans="1:7" x14ac:dyDescent="0.3">
      <c r="A149" s="2">
        <v>148</v>
      </c>
      <c r="B149" s="2">
        <v>2</v>
      </c>
      <c r="C149" s="2">
        <v>3</v>
      </c>
      <c r="D149" s="2">
        <v>4</v>
      </c>
      <c r="E149" s="2">
        <v>2</v>
      </c>
      <c r="F149" s="2">
        <v>1</v>
      </c>
      <c r="G149" s="2">
        <v>45</v>
      </c>
    </row>
    <row r="150" spans="1:7" x14ac:dyDescent="0.3">
      <c r="A150" s="2">
        <v>149</v>
      </c>
      <c r="B150" s="2">
        <v>2</v>
      </c>
      <c r="C150" s="2">
        <v>3</v>
      </c>
      <c r="D150" s="2">
        <v>4</v>
      </c>
      <c r="E150" s="2">
        <v>2</v>
      </c>
      <c r="F150" s="2">
        <v>2</v>
      </c>
      <c r="G150" s="2">
        <v>40</v>
      </c>
    </row>
    <row r="151" spans="1:7" x14ac:dyDescent="0.3">
      <c r="A151" s="2">
        <v>150</v>
      </c>
      <c r="B151" s="2">
        <v>2</v>
      </c>
      <c r="C151" s="2">
        <v>3</v>
      </c>
      <c r="D151" s="2">
        <v>4</v>
      </c>
      <c r="E151" s="2">
        <v>2</v>
      </c>
      <c r="F151" s="2">
        <v>3</v>
      </c>
      <c r="G151" s="2">
        <v>35</v>
      </c>
    </row>
    <row r="152" spans="1:7" x14ac:dyDescent="0.3">
      <c r="A152" s="2">
        <v>151</v>
      </c>
      <c r="B152" s="2">
        <v>2</v>
      </c>
      <c r="C152" s="2">
        <v>3</v>
      </c>
      <c r="D152" s="2">
        <v>4</v>
      </c>
      <c r="E152" s="2">
        <v>3</v>
      </c>
      <c r="F152" s="2">
        <v>1</v>
      </c>
      <c r="G152" s="2">
        <v>45</v>
      </c>
    </row>
    <row r="153" spans="1:7" x14ac:dyDescent="0.3">
      <c r="A153" s="2">
        <v>152</v>
      </c>
      <c r="B153" s="2">
        <v>2</v>
      </c>
      <c r="C153" s="2">
        <v>3</v>
      </c>
      <c r="D153" s="2">
        <v>4</v>
      </c>
      <c r="E153" s="2">
        <v>3</v>
      </c>
      <c r="F153" s="2">
        <v>2</v>
      </c>
      <c r="G153" s="2">
        <v>40</v>
      </c>
    </row>
    <row r="154" spans="1:7" x14ac:dyDescent="0.3">
      <c r="A154" s="2">
        <v>153</v>
      </c>
      <c r="B154" s="2">
        <v>2</v>
      </c>
      <c r="C154" s="2">
        <v>3</v>
      </c>
      <c r="D154" s="2">
        <v>4</v>
      </c>
      <c r="E154" s="2">
        <v>3</v>
      </c>
      <c r="F154" s="2">
        <v>3</v>
      </c>
      <c r="G154" s="2">
        <v>35</v>
      </c>
    </row>
    <row r="155" spans="1:7" x14ac:dyDescent="0.3">
      <c r="A155" s="2">
        <v>154</v>
      </c>
      <c r="B155" s="2">
        <v>2</v>
      </c>
      <c r="C155" s="2">
        <v>3</v>
      </c>
      <c r="D155" s="2">
        <v>4</v>
      </c>
      <c r="E155" s="2">
        <v>4</v>
      </c>
      <c r="F155" s="2">
        <v>1</v>
      </c>
      <c r="G155" s="2">
        <v>45</v>
      </c>
    </row>
    <row r="156" spans="1:7" x14ac:dyDescent="0.3">
      <c r="A156" s="2">
        <v>155</v>
      </c>
      <c r="B156" s="2">
        <v>2</v>
      </c>
      <c r="C156" s="2">
        <v>3</v>
      </c>
      <c r="D156" s="2">
        <v>4</v>
      </c>
      <c r="E156" s="2">
        <v>4</v>
      </c>
      <c r="F156" s="2">
        <v>2</v>
      </c>
      <c r="G156" s="2">
        <v>40</v>
      </c>
    </row>
    <row r="157" spans="1:7" x14ac:dyDescent="0.3">
      <c r="A157" s="2">
        <v>156</v>
      </c>
      <c r="B157" s="2">
        <v>2</v>
      </c>
      <c r="C157" s="2">
        <v>3</v>
      </c>
      <c r="D157" s="2">
        <v>4</v>
      </c>
      <c r="E157" s="2">
        <v>4</v>
      </c>
      <c r="F157" s="2">
        <v>3</v>
      </c>
      <c r="G157" s="2">
        <v>35</v>
      </c>
    </row>
    <row r="158" spans="1:7" x14ac:dyDescent="0.3">
      <c r="A158" s="2">
        <v>157</v>
      </c>
      <c r="B158" s="2">
        <v>2</v>
      </c>
      <c r="C158" s="2">
        <v>3</v>
      </c>
      <c r="D158" s="2">
        <v>4</v>
      </c>
      <c r="E158" s="2">
        <v>5</v>
      </c>
      <c r="F158" s="2">
        <v>1</v>
      </c>
      <c r="G158" s="2">
        <v>45</v>
      </c>
    </row>
    <row r="159" spans="1:7" x14ac:dyDescent="0.3">
      <c r="A159" s="2">
        <v>158</v>
      </c>
      <c r="B159" s="2">
        <v>2</v>
      </c>
      <c r="C159" s="2">
        <v>3</v>
      </c>
      <c r="D159" s="2">
        <v>4</v>
      </c>
      <c r="E159" s="2">
        <v>5</v>
      </c>
      <c r="F159" s="2">
        <v>2</v>
      </c>
      <c r="G159" s="2">
        <v>40</v>
      </c>
    </row>
    <row r="160" spans="1:7" x14ac:dyDescent="0.3">
      <c r="A160" s="2">
        <v>159</v>
      </c>
      <c r="B160" s="2">
        <v>2</v>
      </c>
      <c r="C160" s="2">
        <v>3</v>
      </c>
      <c r="D160" s="2">
        <v>4</v>
      </c>
      <c r="E160" s="2">
        <v>5</v>
      </c>
      <c r="F160" s="2">
        <v>3</v>
      </c>
      <c r="G160" s="2">
        <v>35</v>
      </c>
    </row>
    <row r="161" spans="1:7" x14ac:dyDescent="0.3">
      <c r="A161" s="2">
        <v>160</v>
      </c>
      <c r="B161" s="2">
        <v>2</v>
      </c>
      <c r="C161" s="2">
        <v>3</v>
      </c>
      <c r="D161" s="2">
        <v>4</v>
      </c>
      <c r="E161" s="2">
        <v>6</v>
      </c>
      <c r="F161" s="2">
        <v>1</v>
      </c>
      <c r="G161" s="2">
        <v>45</v>
      </c>
    </row>
    <row r="162" spans="1:7" x14ac:dyDescent="0.3">
      <c r="A162" s="2">
        <v>161</v>
      </c>
      <c r="B162" s="2">
        <v>2</v>
      </c>
      <c r="C162" s="2">
        <v>3</v>
      </c>
      <c r="D162" s="2">
        <v>4</v>
      </c>
      <c r="E162" s="2">
        <v>6</v>
      </c>
      <c r="F162" s="2">
        <v>2</v>
      </c>
      <c r="G162" s="2">
        <v>40</v>
      </c>
    </row>
    <row r="163" spans="1:7" x14ac:dyDescent="0.3">
      <c r="A163" s="2">
        <v>162</v>
      </c>
      <c r="B163" s="2">
        <v>2</v>
      </c>
      <c r="C163" s="2">
        <v>3</v>
      </c>
      <c r="D163" s="2">
        <v>4</v>
      </c>
      <c r="E163" s="2">
        <v>6</v>
      </c>
      <c r="F163" s="2">
        <v>3</v>
      </c>
      <c r="G163" s="2">
        <v>35</v>
      </c>
    </row>
    <row r="164" spans="1:7" x14ac:dyDescent="0.3">
      <c r="A164" s="2">
        <v>163</v>
      </c>
      <c r="B164" s="2">
        <v>2</v>
      </c>
      <c r="C164" s="2">
        <v>3</v>
      </c>
      <c r="D164" s="2">
        <v>4</v>
      </c>
      <c r="E164" s="2">
        <v>7</v>
      </c>
      <c r="F164" s="2">
        <v>1</v>
      </c>
      <c r="G164" s="2">
        <v>50</v>
      </c>
    </row>
    <row r="165" spans="1:7" x14ac:dyDescent="0.3">
      <c r="A165" s="2">
        <v>164</v>
      </c>
      <c r="B165" s="2">
        <v>2</v>
      </c>
      <c r="C165" s="2">
        <v>3</v>
      </c>
      <c r="D165" s="2">
        <v>4</v>
      </c>
      <c r="E165" s="2">
        <v>7</v>
      </c>
      <c r="F165" s="2">
        <v>2</v>
      </c>
      <c r="G165" s="2">
        <v>45</v>
      </c>
    </row>
    <row r="166" spans="1:7" x14ac:dyDescent="0.3">
      <c r="A166" s="2">
        <v>165</v>
      </c>
      <c r="B166" s="2">
        <v>2</v>
      </c>
      <c r="C166" s="2">
        <v>3</v>
      </c>
      <c r="D166" s="2">
        <v>4</v>
      </c>
      <c r="E166" s="2">
        <v>7</v>
      </c>
      <c r="F166" s="2">
        <v>3</v>
      </c>
      <c r="G166" s="2">
        <v>40</v>
      </c>
    </row>
    <row r="167" spans="1:7" x14ac:dyDescent="0.3">
      <c r="A167" s="2">
        <v>166</v>
      </c>
      <c r="B167" s="2">
        <v>2</v>
      </c>
      <c r="C167" s="2">
        <v>3</v>
      </c>
      <c r="D167" s="2">
        <v>4</v>
      </c>
      <c r="E167" s="2">
        <v>8</v>
      </c>
      <c r="F167" s="2">
        <v>1</v>
      </c>
      <c r="G167" s="2">
        <v>50</v>
      </c>
    </row>
    <row r="168" spans="1:7" x14ac:dyDescent="0.3">
      <c r="A168" s="2">
        <v>167</v>
      </c>
      <c r="B168" s="2">
        <v>2</v>
      </c>
      <c r="C168" s="2">
        <v>3</v>
      </c>
      <c r="D168" s="2">
        <v>4</v>
      </c>
      <c r="E168" s="2">
        <v>8</v>
      </c>
      <c r="F168" s="2">
        <v>2</v>
      </c>
      <c r="G168" s="2">
        <v>45</v>
      </c>
    </row>
    <row r="169" spans="1:7" x14ac:dyDescent="0.3">
      <c r="A169" s="2">
        <v>168</v>
      </c>
      <c r="B169" s="2">
        <v>2</v>
      </c>
      <c r="C169" s="2">
        <v>3</v>
      </c>
      <c r="D169" s="2">
        <v>4</v>
      </c>
      <c r="E169" s="2">
        <v>8</v>
      </c>
      <c r="F169" s="2">
        <v>3</v>
      </c>
      <c r="G169" s="2">
        <v>40</v>
      </c>
    </row>
    <row r="170" spans="1:7" x14ac:dyDescent="0.3">
      <c r="A170" s="2">
        <v>169</v>
      </c>
      <c r="B170" s="2">
        <v>2</v>
      </c>
      <c r="C170" s="2">
        <v>3</v>
      </c>
      <c r="D170" s="2">
        <v>4</v>
      </c>
      <c r="E170" s="2">
        <v>9</v>
      </c>
      <c r="F170" s="2">
        <v>1</v>
      </c>
      <c r="G170" s="2">
        <v>50</v>
      </c>
    </row>
    <row r="171" spans="1:7" x14ac:dyDescent="0.3">
      <c r="A171" s="2">
        <v>170</v>
      </c>
      <c r="B171" s="2">
        <v>2</v>
      </c>
      <c r="C171" s="2">
        <v>3</v>
      </c>
      <c r="D171" s="2">
        <v>4</v>
      </c>
      <c r="E171" s="2">
        <v>9</v>
      </c>
      <c r="F171" s="2">
        <v>2</v>
      </c>
      <c r="G171" s="2">
        <v>45</v>
      </c>
    </row>
    <row r="172" spans="1:7" x14ac:dyDescent="0.3">
      <c r="A172" s="2">
        <v>171</v>
      </c>
      <c r="B172" s="2">
        <v>2</v>
      </c>
      <c r="C172" s="2">
        <v>3</v>
      </c>
      <c r="D172" s="2">
        <v>4</v>
      </c>
      <c r="E172" s="2">
        <v>9</v>
      </c>
      <c r="F172" s="2">
        <v>3</v>
      </c>
      <c r="G172" s="2">
        <v>40</v>
      </c>
    </row>
    <row r="173" spans="1:7" x14ac:dyDescent="0.3">
      <c r="A173" s="2">
        <v>172</v>
      </c>
      <c r="B173" s="2">
        <v>2</v>
      </c>
      <c r="C173" s="2">
        <v>3</v>
      </c>
      <c r="D173" s="2">
        <v>4</v>
      </c>
      <c r="E173" s="2">
        <v>10</v>
      </c>
      <c r="F173" s="2">
        <v>1</v>
      </c>
      <c r="G173" s="2">
        <v>50</v>
      </c>
    </row>
    <row r="174" spans="1:7" x14ac:dyDescent="0.3">
      <c r="A174" s="2">
        <v>173</v>
      </c>
      <c r="B174" s="2">
        <v>2</v>
      </c>
      <c r="C174" s="2">
        <v>3</v>
      </c>
      <c r="D174" s="2">
        <v>4</v>
      </c>
      <c r="E174" s="2">
        <v>10</v>
      </c>
      <c r="F174" s="2">
        <v>2</v>
      </c>
      <c r="G174" s="2">
        <v>45</v>
      </c>
    </row>
    <row r="175" spans="1:7" x14ac:dyDescent="0.3">
      <c r="A175" s="2">
        <v>174</v>
      </c>
      <c r="B175" s="2">
        <v>2</v>
      </c>
      <c r="C175" s="2">
        <v>3</v>
      </c>
      <c r="D175" s="2">
        <v>4</v>
      </c>
      <c r="E175" s="2">
        <v>10</v>
      </c>
      <c r="F175" s="2">
        <v>3</v>
      </c>
      <c r="G175" s="2">
        <v>40</v>
      </c>
    </row>
    <row r="176" spans="1:7" x14ac:dyDescent="0.3">
      <c r="A176" s="2">
        <v>175</v>
      </c>
      <c r="B176" s="2">
        <v>2</v>
      </c>
      <c r="C176" s="2">
        <v>3</v>
      </c>
      <c r="D176" s="2">
        <v>4</v>
      </c>
      <c r="E176" s="2">
        <v>11</v>
      </c>
      <c r="F176" s="2">
        <v>1</v>
      </c>
      <c r="G176" s="2">
        <v>58</v>
      </c>
    </row>
    <row r="177" spans="1:7" x14ac:dyDescent="0.3">
      <c r="A177" s="2">
        <v>176</v>
      </c>
      <c r="B177" s="2">
        <v>2</v>
      </c>
      <c r="C177" s="2">
        <v>3</v>
      </c>
      <c r="D177" s="2">
        <v>4</v>
      </c>
      <c r="E177" s="2">
        <v>11</v>
      </c>
      <c r="F177" s="2">
        <v>2</v>
      </c>
      <c r="G177" s="2">
        <v>53</v>
      </c>
    </row>
    <row r="178" spans="1:7" x14ac:dyDescent="0.3">
      <c r="A178" s="2">
        <v>177</v>
      </c>
      <c r="B178" s="2">
        <v>2</v>
      </c>
      <c r="C178" s="2">
        <v>3</v>
      </c>
      <c r="D178" s="2">
        <v>4</v>
      </c>
      <c r="E178" s="2">
        <v>11</v>
      </c>
      <c r="F178" s="2">
        <v>3</v>
      </c>
      <c r="G178" s="2">
        <v>48</v>
      </c>
    </row>
    <row r="179" spans="1:7" x14ac:dyDescent="0.3">
      <c r="A179" s="2">
        <v>178</v>
      </c>
      <c r="B179" s="2">
        <v>2</v>
      </c>
      <c r="C179" s="2">
        <v>3</v>
      </c>
      <c r="D179" s="2">
        <v>4</v>
      </c>
      <c r="E179" s="2">
        <v>12</v>
      </c>
      <c r="F179" s="2">
        <v>1</v>
      </c>
      <c r="G179" s="2">
        <v>60</v>
      </c>
    </row>
    <row r="180" spans="1:7" x14ac:dyDescent="0.3">
      <c r="A180" s="2">
        <v>179</v>
      </c>
      <c r="B180" s="2">
        <v>2</v>
      </c>
      <c r="C180" s="2">
        <v>3</v>
      </c>
      <c r="D180" s="2">
        <v>4</v>
      </c>
      <c r="E180" s="2">
        <v>12</v>
      </c>
      <c r="F180" s="2">
        <v>2</v>
      </c>
      <c r="G180" s="2">
        <v>55</v>
      </c>
    </row>
    <row r="181" spans="1:7" x14ac:dyDescent="0.3">
      <c r="A181" s="2">
        <v>180</v>
      </c>
      <c r="B181" s="2">
        <v>2</v>
      </c>
      <c r="C181" s="2">
        <v>3</v>
      </c>
      <c r="D181" s="2">
        <v>4</v>
      </c>
      <c r="E181" s="2">
        <v>12</v>
      </c>
      <c r="F181" s="2">
        <v>3</v>
      </c>
      <c r="G181" s="2">
        <v>50</v>
      </c>
    </row>
    <row r="182" spans="1:7" x14ac:dyDescent="0.3">
      <c r="A182" s="2">
        <v>181</v>
      </c>
      <c r="B182" s="2">
        <v>2</v>
      </c>
      <c r="C182" s="2">
        <v>3</v>
      </c>
      <c r="D182" s="2">
        <v>5</v>
      </c>
      <c r="E182" s="2">
        <v>1</v>
      </c>
      <c r="F182" s="2">
        <v>1</v>
      </c>
      <c r="G182" s="2">
        <v>40</v>
      </c>
    </row>
    <row r="183" spans="1:7" x14ac:dyDescent="0.3">
      <c r="A183" s="2">
        <v>182</v>
      </c>
      <c r="B183" s="2">
        <v>2</v>
      </c>
      <c r="C183" s="2">
        <v>3</v>
      </c>
      <c r="D183" s="2">
        <v>5</v>
      </c>
      <c r="E183" s="2">
        <v>1</v>
      </c>
      <c r="F183" s="2">
        <v>2</v>
      </c>
      <c r="G183" s="2">
        <v>35</v>
      </c>
    </row>
    <row r="184" spans="1:7" x14ac:dyDescent="0.3">
      <c r="A184" s="2">
        <v>183</v>
      </c>
      <c r="B184" s="2">
        <v>2</v>
      </c>
      <c r="C184" s="2">
        <v>3</v>
      </c>
      <c r="D184" s="2">
        <v>5</v>
      </c>
      <c r="E184" s="2">
        <v>1</v>
      </c>
      <c r="F184" s="2">
        <v>3</v>
      </c>
      <c r="G184" s="2">
        <v>30</v>
      </c>
    </row>
    <row r="185" spans="1:7" x14ac:dyDescent="0.3">
      <c r="A185" s="2">
        <v>184</v>
      </c>
      <c r="B185" s="2">
        <v>2</v>
      </c>
      <c r="C185" s="2">
        <v>3</v>
      </c>
      <c r="D185" s="2">
        <v>5</v>
      </c>
      <c r="E185" s="2">
        <v>2</v>
      </c>
      <c r="F185" s="2">
        <v>1</v>
      </c>
      <c r="G185" s="2">
        <v>40</v>
      </c>
    </row>
    <row r="186" spans="1:7" x14ac:dyDescent="0.3">
      <c r="A186" s="2">
        <v>185</v>
      </c>
      <c r="B186" s="2">
        <v>2</v>
      </c>
      <c r="C186" s="2">
        <v>3</v>
      </c>
      <c r="D186" s="2">
        <v>5</v>
      </c>
      <c r="E186" s="2">
        <v>2</v>
      </c>
      <c r="F186" s="2">
        <v>2</v>
      </c>
      <c r="G186" s="2">
        <v>35</v>
      </c>
    </row>
    <row r="187" spans="1:7" x14ac:dyDescent="0.3">
      <c r="A187" s="2">
        <v>186</v>
      </c>
      <c r="B187" s="2">
        <v>2</v>
      </c>
      <c r="C187" s="2">
        <v>3</v>
      </c>
      <c r="D187" s="2">
        <v>5</v>
      </c>
      <c r="E187" s="2">
        <v>2</v>
      </c>
      <c r="F187" s="2">
        <v>3</v>
      </c>
      <c r="G187" s="2">
        <v>30</v>
      </c>
    </row>
    <row r="188" spans="1:7" x14ac:dyDescent="0.3">
      <c r="A188" s="2">
        <v>187</v>
      </c>
      <c r="B188" s="2">
        <v>2</v>
      </c>
      <c r="C188" s="2">
        <v>3</v>
      </c>
      <c r="D188" s="2">
        <v>5</v>
      </c>
      <c r="E188" s="2">
        <v>3</v>
      </c>
      <c r="F188" s="2">
        <v>1</v>
      </c>
      <c r="G188" s="2">
        <v>40</v>
      </c>
    </row>
    <row r="189" spans="1:7" x14ac:dyDescent="0.3">
      <c r="A189" s="2">
        <v>188</v>
      </c>
      <c r="B189" s="2">
        <v>2</v>
      </c>
      <c r="C189" s="2">
        <v>3</v>
      </c>
      <c r="D189" s="2">
        <v>5</v>
      </c>
      <c r="E189" s="2">
        <v>3</v>
      </c>
      <c r="F189" s="2">
        <v>2</v>
      </c>
      <c r="G189" s="2">
        <v>35</v>
      </c>
    </row>
    <row r="190" spans="1:7" x14ac:dyDescent="0.3">
      <c r="A190" s="2">
        <v>189</v>
      </c>
      <c r="B190" s="2">
        <v>2</v>
      </c>
      <c r="C190" s="2">
        <v>3</v>
      </c>
      <c r="D190" s="2">
        <v>5</v>
      </c>
      <c r="E190" s="2">
        <v>3</v>
      </c>
      <c r="F190" s="2">
        <v>3</v>
      </c>
      <c r="G190" s="2">
        <v>30</v>
      </c>
    </row>
    <row r="191" spans="1:7" x14ac:dyDescent="0.3">
      <c r="A191" s="2">
        <v>190</v>
      </c>
      <c r="B191" s="2">
        <v>2</v>
      </c>
      <c r="C191" s="2">
        <v>3</v>
      </c>
      <c r="D191" s="2">
        <v>5</v>
      </c>
      <c r="E191" s="2">
        <v>4</v>
      </c>
      <c r="F191" s="2">
        <v>1</v>
      </c>
      <c r="G191" s="2">
        <v>40</v>
      </c>
    </row>
    <row r="192" spans="1:7" x14ac:dyDescent="0.3">
      <c r="A192" s="2">
        <v>191</v>
      </c>
      <c r="B192" s="2">
        <v>2</v>
      </c>
      <c r="C192" s="2">
        <v>3</v>
      </c>
      <c r="D192" s="2">
        <v>5</v>
      </c>
      <c r="E192" s="2">
        <v>4</v>
      </c>
      <c r="F192" s="2">
        <v>2</v>
      </c>
      <c r="G192" s="2">
        <v>35</v>
      </c>
    </row>
    <row r="193" spans="1:7" x14ac:dyDescent="0.3">
      <c r="A193" s="2">
        <v>192</v>
      </c>
      <c r="B193" s="2">
        <v>2</v>
      </c>
      <c r="C193" s="2">
        <v>3</v>
      </c>
      <c r="D193" s="2">
        <v>5</v>
      </c>
      <c r="E193" s="2">
        <v>4</v>
      </c>
      <c r="F193" s="2">
        <v>3</v>
      </c>
      <c r="G193" s="2">
        <v>30</v>
      </c>
    </row>
    <row r="194" spans="1:7" x14ac:dyDescent="0.3">
      <c r="A194" s="2">
        <v>193</v>
      </c>
      <c r="B194" s="2">
        <v>2</v>
      </c>
      <c r="C194" s="2">
        <v>3</v>
      </c>
      <c r="D194" s="2">
        <v>5</v>
      </c>
      <c r="E194" s="2">
        <v>5</v>
      </c>
      <c r="F194" s="2">
        <v>1</v>
      </c>
      <c r="G194" s="2">
        <v>40</v>
      </c>
    </row>
    <row r="195" spans="1:7" x14ac:dyDescent="0.3">
      <c r="A195" s="2">
        <v>194</v>
      </c>
      <c r="B195" s="2">
        <v>2</v>
      </c>
      <c r="C195" s="2">
        <v>3</v>
      </c>
      <c r="D195" s="2">
        <v>5</v>
      </c>
      <c r="E195" s="2">
        <v>5</v>
      </c>
      <c r="F195" s="2">
        <v>2</v>
      </c>
      <c r="G195" s="2">
        <v>35</v>
      </c>
    </row>
    <row r="196" spans="1:7" x14ac:dyDescent="0.3">
      <c r="A196" s="2">
        <v>195</v>
      </c>
      <c r="B196" s="2">
        <v>2</v>
      </c>
      <c r="C196" s="2">
        <v>3</v>
      </c>
      <c r="D196" s="2">
        <v>5</v>
      </c>
      <c r="E196" s="2">
        <v>5</v>
      </c>
      <c r="F196" s="2">
        <v>3</v>
      </c>
      <c r="G196" s="2">
        <v>30</v>
      </c>
    </row>
    <row r="197" spans="1:7" x14ac:dyDescent="0.3">
      <c r="A197" s="2">
        <v>196</v>
      </c>
      <c r="B197" s="2">
        <v>2</v>
      </c>
      <c r="C197" s="2">
        <v>3</v>
      </c>
      <c r="D197" s="2">
        <v>5</v>
      </c>
      <c r="E197" s="2">
        <v>6</v>
      </c>
      <c r="F197" s="2">
        <v>1</v>
      </c>
      <c r="G197" s="2">
        <v>40</v>
      </c>
    </row>
    <row r="198" spans="1:7" x14ac:dyDescent="0.3">
      <c r="A198" s="2">
        <v>197</v>
      </c>
      <c r="B198" s="2">
        <v>2</v>
      </c>
      <c r="C198" s="2">
        <v>3</v>
      </c>
      <c r="D198" s="2">
        <v>5</v>
      </c>
      <c r="E198" s="2">
        <v>6</v>
      </c>
      <c r="F198" s="2">
        <v>2</v>
      </c>
      <c r="G198" s="2">
        <v>35</v>
      </c>
    </row>
    <row r="199" spans="1:7" x14ac:dyDescent="0.3">
      <c r="A199" s="2">
        <v>198</v>
      </c>
      <c r="B199" s="2">
        <v>2</v>
      </c>
      <c r="C199" s="2">
        <v>3</v>
      </c>
      <c r="D199" s="2">
        <v>5</v>
      </c>
      <c r="E199" s="2">
        <v>6</v>
      </c>
      <c r="F199" s="2">
        <v>3</v>
      </c>
      <c r="G199" s="2">
        <v>30</v>
      </c>
    </row>
    <row r="200" spans="1:7" x14ac:dyDescent="0.3">
      <c r="A200" s="2">
        <v>199</v>
      </c>
      <c r="B200" s="2">
        <v>2</v>
      </c>
      <c r="C200" s="2">
        <v>3</v>
      </c>
      <c r="D200" s="2">
        <v>5</v>
      </c>
      <c r="E200" s="2">
        <v>7</v>
      </c>
      <c r="F200" s="2">
        <v>1</v>
      </c>
      <c r="G200" s="2">
        <v>45</v>
      </c>
    </row>
    <row r="201" spans="1:7" x14ac:dyDescent="0.3">
      <c r="A201" s="2">
        <v>200</v>
      </c>
      <c r="B201" s="2">
        <v>2</v>
      </c>
      <c r="C201" s="2">
        <v>3</v>
      </c>
      <c r="D201" s="2">
        <v>5</v>
      </c>
      <c r="E201" s="2">
        <v>7</v>
      </c>
      <c r="F201" s="2">
        <v>2</v>
      </c>
      <c r="G201" s="2">
        <v>40</v>
      </c>
    </row>
    <row r="202" spans="1:7" x14ac:dyDescent="0.3">
      <c r="A202" s="2">
        <v>201</v>
      </c>
      <c r="B202" s="2">
        <v>2</v>
      </c>
      <c r="C202" s="2">
        <v>3</v>
      </c>
      <c r="D202" s="2">
        <v>5</v>
      </c>
      <c r="E202" s="2">
        <v>7</v>
      </c>
      <c r="F202" s="2">
        <v>3</v>
      </c>
      <c r="G202" s="2">
        <v>35</v>
      </c>
    </row>
    <row r="203" spans="1:7" x14ac:dyDescent="0.3">
      <c r="A203" s="2">
        <v>202</v>
      </c>
      <c r="B203" s="2">
        <v>2</v>
      </c>
      <c r="C203" s="2">
        <v>3</v>
      </c>
      <c r="D203" s="2">
        <v>5</v>
      </c>
      <c r="E203" s="2">
        <v>8</v>
      </c>
      <c r="F203" s="2">
        <v>1</v>
      </c>
      <c r="G203" s="2">
        <v>45</v>
      </c>
    </row>
    <row r="204" spans="1:7" x14ac:dyDescent="0.3">
      <c r="A204" s="2">
        <v>203</v>
      </c>
      <c r="B204" s="2">
        <v>2</v>
      </c>
      <c r="C204" s="2">
        <v>3</v>
      </c>
      <c r="D204" s="2">
        <v>5</v>
      </c>
      <c r="E204" s="2">
        <v>8</v>
      </c>
      <c r="F204" s="2">
        <v>2</v>
      </c>
      <c r="G204" s="2">
        <v>40</v>
      </c>
    </row>
    <row r="205" spans="1:7" x14ac:dyDescent="0.3">
      <c r="A205" s="2">
        <v>204</v>
      </c>
      <c r="B205" s="2">
        <v>2</v>
      </c>
      <c r="C205" s="2">
        <v>3</v>
      </c>
      <c r="D205" s="2">
        <v>5</v>
      </c>
      <c r="E205" s="2">
        <v>8</v>
      </c>
      <c r="F205" s="2">
        <v>3</v>
      </c>
      <c r="G205" s="2">
        <v>35</v>
      </c>
    </row>
    <row r="206" spans="1:7" x14ac:dyDescent="0.3">
      <c r="A206" s="2">
        <v>205</v>
      </c>
      <c r="B206" s="2">
        <v>2</v>
      </c>
      <c r="C206" s="2">
        <v>3</v>
      </c>
      <c r="D206" s="2">
        <v>5</v>
      </c>
      <c r="E206" s="2">
        <v>9</v>
      </c>
      <c r="F206" s="2">
        <v>1</v>
      </c>
      <c r="G206" s="2">
        <v>45</v>
      </c>
    </row>
    <row r="207" spans="1:7" x14ac:dyDescent="0.3">
      <c r="A207" s="2">
        <v>206</v>
      </c>
      <c r="B207" s="2">
        <v>2</v>
      </c>
      <c r="C207" s="2">
        <v>3</v>
      </c>
      <c r="D207" s="2">
        <v>5</v>
      </c>
      <c r="E207" s="2">
        <v>9</v>
      </c>
      <c r="F207" s="2">
        <v>2</v>
      </c>
      <c r="G207" s="2">
        <v>40</v>
      </c>
    </row>
    <row r="208" spans="1:7" x14ac:dyDescent="0.3">
      <c r="A208" s="2">
        <v>207</v>
      </c>
      <c r="B208" s="2">
        <v>2</v>
      </c>
      <c r="C208" s="2">
        <v>3</v>
      </c>
      <c r="D208" s="2">
        <v>5</v>
      </c>
      <c r="E208" s="2">
        <v>9</v>
      </c>
      <c r="F208" s="2">
        <v>3</v>
      </c>
      <c r="G208" s="2">
        <v>35</v>
      </c>
    </row>
    <row r="209" spans="1:7" x14ac:dyDescent="0.3">
      <c r="A209" s="2">
        <v>208</v>
      </c>
      <c r="B209" s="2">
        <v>2</v>
      </c>
      <c r="C209" s="2">
        <v>3</v>
      </c>
      <c r="D209" s="2">
        <v>5</v>
      </c>
      <c r="E209" s="2">
        <v>10</v>
      </c>
      <c r="F209" s="2">
        <v>1</v>
      </c>
      <c r="G209" s="2">
        <v>45</v>
      </c>
    </row>
    <row r="210" spans="1:7" x14ac:dyDescent="0.3">
      <c r="A210" s="2">
        <v>209</v>
      </c>
      <c r="B210" s="2">
        <v>2</v>
      </c>
      <c r="C210" s="2">
        <v>3</v>
      </c>
      <c r="D210" s="2">
        <v>5</v>
      </c>
      <c r="E210" s="2">
        <v>10</v>
      </c>
      <c r="F210" s="2">
        <v>2</v>
      </c>
      <c r="G210" s="2">
        <v>40</v>
      </c>
    </row>
    <row r="211" spans="1:7" x14ac:dyDescent="0.3">
      <c r="A211" s="2">
        <v>210</v>
      </c>
      <c r="B211" s="2">
        <v>2</v>
      </c>
      <c r="C211" s="2">
        <v>3</v>
      </c>
      <c r="D211" s="2">
        <v>5</v>
      </c>
      <c r="E211" s="2">
        <v>10</v>
      </c>
      <c r="F211" s="2">
        <v>3</v>
      </c>
      <c r="G211" s="2">
        <v>35</v>
      </c>
    </row>
    <row r="212" spans="1:7" x14ac:dyDescent="0.3">
      <c r="A212" s="2">
        <v>211</v>
      </c>
      <c r="B212" s="2">
        <v>2</v>
      </c>
      <c r="C212" s="2">
        <v>3</v>
      </c>
      <c r="D212" s="2">
        <v>5</v>
      </c>
      <c r="E212" s="2">
        <v>11</v>
      </c>
      <c r="F212" s="2">
        <v>1</v>
      </c>
      <c r="G212" s="2">
        <v>53</v>
      </c>
    </row>
    <row r="213" spans="1:7" x14ac:dyDescent="0.3">
      <c r="A213" s="2">
        <v>212</v>
      </c>
      <c r="B213" s="2">
        <v>2</v>
      </c>
      <c r="C213" s="2">
        <v>3</v>
      </c>
      <c r="D213" s="2">
        <v>5</v>
      </c>
      <c r="E213" s="2">
        <v>11</v>
      </c>
      <c r="F213" s="2">
        <v>2</v>
      </c>
      <c r="G213" s="2">
        <v>48</v>
      </c>
    </row>
    <row r="214" spans="1:7" x14ac:dyDescent="0.3">
      <c r="A214" s="2">
        <v>213</v>
      </c>
      <c r="B214" s="2">
        <v>2</v>
      </c>
      <c r="C214" s="2">
        <v>3</v>
      </c>
      <c r="D214" s="2">
        <v>5</v>
      </c>
      <c r="E214" s="2">
        <v>11</v>
      </c>
      <c r="F214" s="2">
        <v>3</v>
      </c>
      <c r="G214" s="2">
        <v>43</v>
      </c>
    </row>
    <row r="215" spans="1:7" x14ac:dyDescent="0.3">
      <c r="A215" s="2">
        <v>214</v>
      </c>
      <c r="B215" s="2">
        <v>2</v>
      </c>
      <c r="C215" s="2">
        <v>3</v>
      </c>
      <c r="D215" s="2">
        <v>5</v>
      </c>
      <c r="E215" s="2">
        <v>12</v>
      </c>
      <c r="F215" s="2">
        <v>1</v>
      </c>
      <c r="G215" s="2">
        <v>55</v>
      </c>
    </row>
    <row r="216" spans="1:7" x14ac:dyDescent="0.3">
      <c r="A216" s="2">
        <v>215</v>
      </c>
      <c r="B216" s="2">
        <v>2</v>
      </c>
      <c r="C216" s="2">
        <v>3</v>
      </c>
      <c r="D216" s="2">
        <v>5</v>
      </c>
      <c r="E216" s="2">
        <v>12</v>
      </c>
      <c r="F216" s="2">
        <v>2</v>
      </c>
      <c r="G216" s="2">
        <v>50</v>
      </c>
    </row>
    <row r="217" spans="1:7" x14ac:dyDescent="0.3">
      <c r="A217" s="2">
        <v>216</v>
      </c>
      <c r="B217" s="2">
        <v>2</v>
      </c>
      <c r="C217" s="2">
        <v>3</v>
      </c>
      <c r="D217" s="2">
        <v>5</v>
      </c>
      <c r="E217" s="2">
        <v>12</v>
      </c>
      <c r="F217" s="2">
        <v>3</v>
      </c>
      <c r="G217" s="2">
        <v>45</v>
      </c>
    </row>
    <row r="218" spans="1:7" x14ac:dyDescent="0.3">
      <c r="A218" s="2">
        <v>217</v>
      </c>
      <c r="B218" s="2">
        <v>2</v>
      </c>
      <c r="C218" s="2">
        <v>4</v>
      </c>
      <c r="D218" s="2">
        <v>4</v>
      </c>
      <c r="E218" s="2">
        <v>1</v>
      </c>
      <c r="F218" s="2">
        <v>1</v>
      </c>
      <c r="G218" s="2">
        <v>40</v>
      </c>
    </row>
    <row r="219" spans="1:7" x14ac:dyDescent="0.3">
      <c r="A219" s="2">
        <v>218</v>
      </c>
      <c r="B219" s="2">
        <v>2</v>
      </c>
      <c r="C219" s="2">
        <v>4</v>
      </c>
      <c r="D219" s="2">
        <v>4</v>
      </c>
      <c r="E219" s="2">
        <v>1</v>
      </c>
      <c r="F219" s="2">
        <v>2</v>
      </c>
      <c r="G219" s="2">
        <v>35</v>
      </c>
    </row>
    <row r="220" spans="1:7" x14ac:dyDescent="0.3">
      <c r="A220" s="2">
        <v>219</v>
      </c>
      <c r="B220" s="2">
        <v>2</v>
      </c>
      <c r="C220" s="2">
        <v>4</v>
      </c>
      <c r="D220" s="2">
        <v>4</v>
      </c>
      <c r="E220" s="2">
        <v>1</v>
      </c>
      <c r="F220" s="2">
        <v>3</v>
      </c>
      <c r="G220" s="2">
        <v>30</v>
      </c>
    </row>
    <row r="221" spans="1:7" x14ac:dyDescent="0.3">
      <c r="A221" s="2">
        <v>220</v>
      </c>
      <c r="B221" s="2">
        <v>2</v>
      </c>
      <c r="C221" s="2">
        <v>4</v>
      </c>
      <c r="D221" s="2">
        <v>4</v>
      </c>
      <c r="E221" s="2">
        <v>2</v>
      </c>
      <c r="F221" s="2">
        <v>1</v>
      </c>
      <c r="G221" s="2">
        <v>40</v>
      </c>
    </row>
    <row r="222" spans="1:7" x14ac:dyDescent="0.3">
      <c r="A222" s="2">
        <v>221</v>
      </c>
      <c r="B222" s="2">
        <v>2</v>
      </c>
      <c r="C222" s="2">
        <v>4</v>
      </c>
      <c r="D222" s="2">
        <v>4</v>
      </c>
      <c r="E222" s="2">
        <v>2</v>
      </c>
      <c r="F222" s="2">
        <v>2</v>
      </c>
      <c r="G222" s="2">
        <v>35</v>
      </c>
    </row>
    <row r="223" spans="1:7" x14ac:dyDescent="0.3">
      <c r="A223" s="2">
        <v>222</v>
      </c>
      <c r="B223" s="2">
        <v>2</v>
      </c>
      <c r="C223" s="2">
        <v>4</v>
      </c>
      <c r="D223" s="2">
        <v>4</v>
      </c>
      <c r="E223" s="2">
        <v>2</v>
      </c>
      <c r="F223" s="2">
        <v>3</v>
      </c>
      <c r="G223" s="2">
        <v>30</v>
      </c>
    </row>
    <row r="224" spans="1:7" x14ac:dyDescent="0.3">
      <c r="A224" s="2">
        <v>223</v>
      </c>
      <c r="B224" s="2">
        <v>2</v>
      </c>
      <c r="C224" s="2">
        <v>4</v>
      </c>
      <c r="D224" s="2">
        <v>4</v>
      </c>
      <c r="E224" s="2">
        <v>3</v>
      </c>
      <c r="F224" s="2">
        <v>1</v>
      </c>
      <c r="G224" s="2">
        <v>40</v>
      </c>
    </row>
    <row r="225" spans="1:7" x14ac:dyDescent="0.3">
      <c r="A225" s="2">
        <v>224</v>
      </c>
      <c r="B225" s="2">
        <v>2</v>
      </c>
      <c r="C225" s="2">
        <v>4</v>
      </c>
      <c r="D225" s="2">
        <v>4</v>
      </c>
      <c r="E225" s="2">
        <v>3</v>
      </c>
      <c r="F225" s="2">
        <v>2</v>
      </c>
      <c r="G225" s="2">
        <v>35</v>
      </c>
    </row>
    <row r="226" spans="1:7" x14ac:dyDescent="0.3">
      <c r="A226" s="2">
        <v>225</v>
      </c>
      <c r="B226" s="2">
        <v>2</v>
      </c>
      <c r="C226" s="2">
        <v>4</v>
      </c>
      <c r="D226" s="2">
        <v>4</v>
      </c>
      <c r="E226" s="2">
        <v>3</v>
      </c>
      <c r="F226" s="2">
        <v>3</v>
      </c>
      <c r="G226" s="2">
        <v>30</v>
      </c>
    </row>
    <row r="227" spans="1:7" x14ac:dyDescent="0.3">
      <c r="A227" s="2">
        <v>226</v>
      </c>
      <c r="B227" s="2">
        <v>2</v>
      </c>
      <c r="C227" s="2">
        <v>4</v>
      </c>
      <c r="D227" s="2">
        <v>4</v>
      </c>
      <c r="E227" s="2">
        <v>4</v>
      </c>
      <c r="F227" s="2">
        <v>1</v>
      </c>
      <c r="G227" s="2">
        <v>40</v>
      </c>
    </row>
    <row r="228" spans="1:7" x14ac:dyDescent="0.3">
      <c r="A228" s="2">
        <v>227</v>
      </c>
      <c r="B228" s="2">
        <v>2</v>
      </c>
      <c r="C228" s="2">
        <v>4</v>
      </c>
      <c r="D228" s="2">
        <v>4</v>
      </c>
      <c r="E228" s="2">
        <v>4</v>
      </c>
      <c r="F228" s="2">
        <v>2</v>
      </c>
      <c r="G228" s="2">
        <v>35</v>
      </c>
    </row>
    <row r="229" spans="1:7" x14ac:dyDescent="0.3">
      <c r="A229" s="2">
        <v>228</v>
      </c>
      <c r="B229" s="2">
        <v>2</v>
      </c>
      <c r="C229" s="2">
        <v>4</v>
      </c>
      <c r="D229" s="2">
        <v>4</v>
      </c>
      <c r="E229" s="2">
        <v>4</v>
      </c>
      <c r="F229" s="2">
        <v>3</v>
      </c>
      <c r="G229" s="2">
        <v>30</v>
      </c>
    </row>
    <row r="230" spans="1:7" x14ac:dyDescent="0.3">
      <c r="A230" s="2">
        <v>229</v>
      </c>
      <c r="B230" s="2">
        <v>2</v>
      </c>
      <c r="C230" s="2">
        <v>4</v>
      </c>
      <c r="D230" s="2">
        <v>4</v>
      </c>
      <c r="E230" s="2">
        <v>5</v>
      </c>
      <c r="F230" s="2">
        <v>1</v>
      </c>
      <c r="G230" s="2">
        <v>40</v>
      </c>
    </row>
    <row r="231" spans="1:7" x14ac:dyDescent="0.3">
      <c r="A231" s="2">
        <v>230</v>
      </c>
      <c r="B231" s="2">
        <v>2</v>
      </c>
      <c r="C231" s="2">
        <v>4</v>
      </c>
      <c r="D231" s="2">
        <v>4</v>
      </c>
      <c r="E231" s="2">
        <v>5</v>
      </c>
      <c r="F231" s="2">
        <v>2</v>
      </c>
      <c r="G231" s="2">
        <v>35</v>
      </c>
    </row>
    <row r="232" spans="1:7" x14ac:dyDescent="0.3">
      <c r="A232" s="2">
        <v>231</v>
      </c>
      <c r="B232" s="2">
        <v>2</v>
      </c>
      <c r="C232" s="2">
        <v>4</v>
      </c>
      <c r="D232" s="2">
        <v>4</v>
      </c>
      <c r="E232" s="2">
        <v>5</v>
      </c>
      <c r="F232" s="2">
        <v>3</v>
      </c>
      <c r="G232" s="2">
        <v>30</v>
      </c>
    </row>
    <row r="233" spans="1:7" x14ac:dyDescent="0.3">
      <c r="A233" s="2">
        <v>232</v>
      </c>
      <c r="B233" s="2">
        <v>2</v>
      </c>
      <c r="C233" s="2">
        <v>4</v>
      </c>
      <c r="D233" s="2">
        <v>4</v>
      </c>
      <c r="E233" s="2">
        <v>6</v>
      </c>
      <c r="F233" s="2">
        <v>1</v>
      </c>
      <c r="G233" s="2">
        <v>40</v>
      </c>
    </row>
    <row r="234" spans="1:7" x14ac:dyDescent="0.3">
      <c r="A234" s="2">
        <v>233</v>
      </c>
      <c r="B234" s="2">
        <v>2</v>
      </c>
      <c r="C234" s="2">
        <v>4</v>
      </c>
      <c r="D234" s="2">
        <v>4</v>
      </c>
      <c r="E234" s="2">
        <v>6</v>
      </c>
      <c r="F234" s="2">
        <v>2</v>
      </c>
      <c r="G234" s="2">
        <v>35</v>
      </c>
    </row>
    <row r="235" spans="1:7" x14ac:dyDescent="0.3">
      <c r="A235" s="2">
        <v>234</v>
      </c>
      <c r="B235" s="2">
        <v>2</v>
      </c>
      <c r="C235" s="2">
        <v>4</v>
      </c>
      <c r="D235" s="2">
        <v>4</v>
      </c>
      <c r="E235" s="2">
        <v>6</v>
      </c>
      <c r="F235" s="2">
        <v>3</v>
      </c>
      <c r="G235" s="2">
        <v>30</v>
      </c>
    </row>
    <row r="236" spans="1:7" x14ac:dyDescent="0.3">
      <c r="A236" s="2">
        <v>235</v>
      </c>
      <c r="B236" s="2">
        <v>2</v>
      </c>
      <c r="C236" s="2">
        <v>4</v>
      </c>
      <c r="D236" s="2">
        <v>4</v>
      </c>
      <c r="E236" s="2">
        <v>7</v>
      </c>
      <c r="F236" s="2">
        <v>1</v>
      </c>
      <c r="G236" s="2">
        <v>45</v>
      </c>
    </row>
    <row r="237" spans="1:7" x14ac:dyDescent="0.3">
      <c r="A237" s="2">
        <v>236</v>
      </c>
      <c r="B237" s="2">
        <v>2</v>
      </c>
      <c r="C237" s="2">
        <v>4</v>
      </c>
      <c r="D237" s="2">
        <v>4</v>
      </c>
      <c r="E237" s="2">
        <v>7</v>
      </c>
      <c r="F237" s="2">
        <v>2</v>
      </c>
      <c r="G237" s="2">
        <v>40</v>
      </c>
    </row>
    <row r="238" spans="1:7" x14ac:dyDescent="0.3">
      <c r="A238" s="2">
        <v>237</v>
      </c>
      <c r="B238" s="2">
        <v>2</v>
      </c>
      <c r="C238" s="2">
        <v>4</v>
      </c>
      <c r="D238" s="2">
        <v>4</v>
      </c>
      <c r="E238" s="2">
        <v>7</v>
      </c>
      <c r="F238" s="2">
        <v>3</v>
      </c>
      <c r="G238" s="2">
        <v>35</v>
      </c>
    </row>
    <row r="239" spans="1:7" x14ac:dyDescent="0.3">
      <c r="A239" s="2">
        <v>238</v>
      </c>
      <c r="B239" s="2">
        <v>2</v>
      </c>
      <c r="C239" s="2">
        <v>4</v>
      </c>
      <c r="D239" s="2">
        <v>4</v>
      </c>
      <c r="E239" s="2">
        <v>8</v>
      </c>
      <c r="F239" s="2">
        <v>1</v>
      </c>
      <c r="G239" s="2">
        <v>45</v>
      </c>
    </row>
    <row r="240" spans="1:7" x14ac:dyDescent="0.3">
      <c r="A240" s="2">
        <v>239</v>
      </c>
      <c r="B240" s="2">
        <v>2</v>
      </c>
      <c r="C240" s="2">
        <v>4</v>
      </c>
      <c r="D240" s="2">
        <v>4</v>
      </c>
      <c r="E240" s="2">
        <v>8</v>
      </c>
      <c r="F240" s="2">
        <v>2</v>
      </c>
      <c r="G240" s="2">
        <v>40</v>
      </c>
    </row>
    <row r="241" spans="1:7" x14ac:dyDescent="0.3">
      <c r="A241" s="2">
        <v>240</v>
      </c>
      <c r="B241" s="2">
        <v>2</v>
      </c>
      <c r="C241" s="2">
        <v>4</v>
      </c>
      <c r="D241" s="2">
        <v>4</v>
      </c>
      <c r="E241" s="2">
        <v>8</v>
      </c>
      <c r="F241" s="2">
        <v>3</v>
      </c>
      <c r="G241" s="2">
        <v>35</v>
      </c>
    </row>
    <row r="242" spans="1:7" x14ac:dyDescent="0.3">
      <c r="A242" s="2">
        <v>241</v>
      </c>
      <c r="B242" s="2">
        <v>2</v>
      </c>
      <c r="C242" s="2">
        <v>4</v>
      </c>
      <c r="D242" s="2">
        <v>4</v>
      </c>
      <c r="E242" s="2">
        <v>9</v>
      </c>
      <c r="F242" s="2">
        <v>1</v>
      </c>
      <c r="G242" s="2">
        <v>45</v>
      </c>
    </row>
    <row r="243" spans="1:7" x14ac:dyDescent="0.3">
      <c r="A243" s="2">
        <v>242</v>
      </c>
      <c r="B243" s="2">
        <v>2</v>
      </c>
      <c r="C243" s="2">
        <v>4</v>
      </c>
      <c r="D243" s="2">
        <v>4</v>
      </c>
      <c r="E243" s="2">
        <v>9</v>
      </c>
      <c r="F243" s="2">
        <v>2</v>
      </c>
      <c r="G243" s="2">
        <v>40</v>
      </c>
    </row>
    <row r="244" spans="1:7" x14ac:dyDescent="0.3">
      <c r="A244" s="2">
        <v>243</v>
      </c>
      <c r="B244" s="2">
        <v>2</v>
      </c>
      <c r="C244" s="2">
        <v>4</v>
      </c>
      <c r="D244" s="2">
        <v>4</v>
      </c>
      <c r="E244" s="2">
        <v>9</v>
      </c>
      <c r="F244" s="2">
        <v>3</v>
      </c>
      <c r="G244" s="2">
        <v>35</v>
      </c>
    </row>
    <row r="245" spans="1:7" x14ac:dyDescent="0.3">
      <c r="A245" s="2">
        <v>244</v>
      </c>
      <c r="B245" s="2">
        <v>2</v>
      </c>
      <c r="C245" s="2">
        <v>4</v>
      </c>
      <c r="D245" s="2">
        <v>4</v>
      </c>
      <c r="E245" s="2">
        <v>10</v>
      </c>
      <c r="F245" s="2">
        <v>1</v>
      </c>
      <c r="G245" s="2">
        <v>45</v>
      </c>
    </row>
    <row r="246" spans="1:7" x14ac:dyDescent="0.3">
      <c r="A246" s="2">
        <v>245</v>
      </c>
      <c r="B246" s="2">
        <v>2</v>
      </c>
      <c r="C246" s="2">
        <v>4</v>
      </c>
      <c r="D246" s="2">
        <v>4</v>
      </c>
      <c r="E246" s="2">
        <v>10</v>
      </c>
      <c r="F246" s="2">
        <v>2</v>
      </c>
      <c r="G246" s="2">
        <v>40</v>
      </c>
    </row>
    <row r="247" spans="1:7" x14ac:dyDescent="0.3">
      <c r="A247" s="2">
        <v>246</v>
      </c>
      <c r="B247" s="2">
        <v>2</v>
      </c>
      <c r="C247" s="2">
        <v>4</v>
      </c>
      <c r="D247" s="2">
        <v>4</v>
      </c>
      <c r="E247" s="2">
        <v>10</v>
      </c>
      <c r="F247" s="2">
        <v>3</v>
      </c>
      <c r="G247" s="2">
        <v>35</v>
      </c>
    </row>
    <row r="248" spans="1:7" x14ac:dyDescent="0.3">
      <c r="A248" s="2">
        <v>247</v>
      </c>
      <c r="B248" s="2">
        <v>2</v>
      </c>
      <c r="C248" s="2">
        <v>4</v>
      </c>
      <c r="D248" s="2">
        <v>4</v>
      </c>
      <c r="E248" s="2">
        <v>11</v>
      </c>
      <c r="F248" s="2">
        <v>1</v>
      </c>
      <c r="G248" s="2">
        <v>53</v>
      </c>
    </row>
    <row r="249" spans="1:7" x14ac:dyDescent="0.3">
      <c r="A249" s="2">
        <v>248</v>
      </c>
      <c r="B249" s="2">
        <v>2</v>
      </c>
      <c r="C249" s="2">
        <v>4</v>
      </c>
      <c r="D249" s="2">
        <v>4</v>
      </c>
      <c r="E249" s="2">
        <v>11</v>
      </c>
      <c r="F249" s="2">
        <v>2</v>
      </c>
      <c r="G249" s="2">
        <v>48</v>
      </c>
    </row>
    <row r="250" spans="1:7" x14ac:dyDescent="0.3">
      <c r="A250" s="2">
        <v>249</v>
      </c>
      <c r="B250" s="2">
        <v>2</v>
      </c>
      <c r="C250" s="2">
        <v>4</v>
      </c>
      <c r="D250" s="2">
        <v>4</v>
      </c>
      <c r="E250" s="2">
        <v>11</v>
      </c>
      <c r="F250" s="2">
        <v>3</v>
      </c>
      <c r="G250" s="2">
        <v>43</v>
      </c>
    </row>
    <row r="251" spans="1:7" x14ac:dyDescent="0.3">
      <c r="A251" s="2">
        <v>250</v>
      </c>
      <c r="B251" s="2">
        <v>2</v>
      </c>
      <c r="C251" s="2">
        <v>4</v>
      </c>
      <c r="D251" s="2">
        <v>4</v>
      </c>
      <c r="E251" s="2">
        <v>12</v>
      </c>
      <c r="F251" s="2">
        <v>1</v>
      </c>
      <c r="G251" s="2">
        <v>55</v>
      </c>
    </row>
    <row r="252" spans="1:7" x14ac:dyDescent="0.3">
      <c r="A252" s="2">
        <v>251</v>
      </c>
      <c r="B252" s="2">
        <v>2</v>
      </c>
      <c r="C252" s="2">
        <v>4</v>
      </c>
      <c r="D252" s="2">
        <v>4</v>
      </c>
      <c r="E252" s="2">
        <v>12</v>
      </c>
      <c r="F252" s="2">
        <v>2</v>
      </c>
      <c r="G252" s="2">
        <v>50</v>
      </c>
    </row>
    <row r="253" spans="1:7" x14ac:dyDescent="0.3">
      <c r="A253" s="2">
        <v>252</v>
      </c>
      <c r="B253" s="2">
        <v>2</v>
      </c>
      <c r="C253" s="2">
        <v>4</v>
      </c>
      <c r="D253" s="2">
        <v>4</v>
      </c>
      <c r="E253" s="2">
        <v>12</v>
      </c>
      <c r="F253" s="2">
        <v>3</v>
      </c>
      <c r="G253" s="2">
        <v>45</v>
      </c>
    </row>
    <row r="254" spans="1:7" x14ac:dyDescent="0.3">
      <c r="A254" s="2">
        <v>253</v>
      </c>
      <c r="B254" s="2">
        <v>2</v>
      </c>
      <c r="C254" s="2">
        <v>4</v>
      </c>
      <c r="D254" s="2">
        <v>5</v>
      </c>
      <c r="E254" s="2">
        <v>1</v>
      </c>
      <c r="F254" s="2">
        <v>1</v>
      </c>
      <c r="G254" s="2">
        <v>35</v>
      </c>
    </row>
    <row r="255" spans="1:7" x14ac:dyDescent="0.3">
      <c r="A255" s="2">
        <v>254</v>
      </c>
      <c r="B255" s="2">
        <v>2</v>
      </c>
      <c r="C255" s="2">
        <v>4</v>
      </c>
      <c r="D255" s="2">
        <v>5</v>
      </c>
      <c r="E255" s="2">
        <v>1</v>
      </c>
      <c r="F255" s="2">
        <v>2</v>
      </c>
      <c r="G255" s="2">
        <v>30</v>
      </c>
    </row>
    <row r="256" spans="1:7" x14ac:dyDescent="0.3">
      <c r="A256" s="2">
        <v>255</v>
      </c>
      <c r="B256" s="2">
        <v>2</v>
      </c>
      <c r="C256" s="2">
        <v>4</v>
      </c>
      <c r="D256" s="2">
        <v>5</v>
      </c>
      <c r="E256" s="2">
        <v>1</v>
      </c>
      <c r="F256" s="2">
        <v>3</v>
      </c>
      <c r="G256" s="2">
        <v>25</v>
      </c>
    </row>
    <row r="257" spans="1:7" x14ac:dyDescent="0.3">
      <c r="A257" s="2">
        <v>256</v>
      </c>
      <c r="B257" s="2">
        <v>2</v>
      </c>
      <c r="C257" s="2">
        <v>4</v>
      </c>
      <c r="D257" s="2">
        <v>5</v>
      </c>
      <c r="E257" s="2">
        <v>2</v>
      </c>
      <c r="F257" s="2">
        <v>1</v>
      </c>
      <c r="G257" s="2">
        <v>35</v>
      </c>
    </row>
    <row r="258" spans="1:7" x14ac:dyDescent="0.3">
      <c r="A258" s="2">
        <v>257</v>
      </c>
      <c r="B258" s="2">
        <v>2</v>
      </c>
      <c r="C258" s="2">
        <v>4</v>
      </c>
      <c r="D258" s="2">
        <v>5</v>
      </c>
      <c r="E258" s="2">
        <v>2</v>
      </c>
      <c r="F258" s="2">
        <v>2</v>
      </c>
      <c r="G258" s="2">
        <v>30</v>
      </c>
    </row>
    <row r="259" spans="1:7" x14ac:dyDescent="0.3">
      <c r="A259" s="2">
        <v>258</v>
      </c>
      <c r="B259" s="2">
        <v>2</v>
      </c>
      <c r="C259" s="2">
        <v>4</v>
      </c>
      <c r="D259" s="2">
        <v>5</v>
      </c>
      <c r="E259" s="2">
        <v>2</v>
      </c>
      <c r="F259" s="2">
        <v>3</v>
      </c>
      <c r="G259" s="2">
        <v>25</v>
      </c>
    </row>
    <row r="260" spans="1:7" x14ac:dyDescent="0.3">
      <c r="A260" s="2">
        <v>259</v>
      </c>
      <c r="B260" s="2">
        <v>2</v>
      </c>
      <c r="C260" s="2">
        <v>4</v>
      </c>
      <c r="D260" s="2">
        <v>5</v>
      </c>
      <c r="E260" s="2">
        <v>3</v>
      </c>
      <c r="F260" s="2">
        <v>1</v>
      </c>
      <c r="G260" s="2">
        <v>35</v>
      </c>
    </row>
    <row r="261" spans="1:7" x14ac:dyDescent="0.3">
      <c r="A261" s="2">
        <v>260</v>
      </c>
      <c r="B261" s="2">
        <v>2</v>
      </c>
      <c r="C261" s="2">
        <v>4</v>
      </c>
      <c r="D261" s="2">
        <v>5</v>
      </c>
      <c r="E261" s="2">
        <v>3</v>
      </c>
      <c r="F261" s="2">
        <v>2</v>
      </c>
      <c r="G261" s="2">
        <v>30</v>
      </c>
    </row>
    <row r="262" spans="1:7" x14ac:dyDescent="0.3">
      <c r="A262" s="2">
        <v>261</v>
      </c>
      <c r="B262" s="2">
        <v>2</v>
      </c>
      <c r="C262" s="2">
        <v>4</v>
      </c>
      <c r="D262" s="2">
        <v>5</v>
      </c>
      <c r="E262" s="2">
        <v>3</v>
      </c>
      <c r="F262" s="2">
        <v>3</v>
      </c>
      <c r="G262" s="2">
        <v>25</v>
      </c>
    </row>
    <row r="263" spans="1:7" x14ac:dyDescent="0.3">
      <c r="A263" s="2">
        <v>262</v>
      </c>
      <c r="B263" s="2">
        <v>2</v>
      </c>
      <c r="C263" s="2">
        <v>4</v>
      </c>
      <c r="D263" s="2">
        <v>5</v>
      </c>
      <c r="E263" s="2">
        <v>4</v>
      </c>
      <c r="F263" s="2">
        <v>1</v>
      </c>
      <c r="G263" s="2">
        <v>35</v>
      </c>
    </row>
    <row r="264" spans="1:7" x14ac:dyDescent="0.3">
      <c r="A264" s="2">
        <v>263</v>
      </c>
      <c r="B264" s="2">
        <v>2</v>
      </c>
      <c r="C264" s="2">
        <v>4</v>
      </c>
      <c r="D264" s="2">
        <v>5</v>
      </c>
      <c r="E264" s="2">
        <v>4</v>
      </c>
      <c r="F264" s="2">
        <v>2</v>
      </c>
      <c r="G264" s="2">
        <v>30</v>
      </c>
    </row>
    <row r="265" spans="1:7" x14ac:dyDescent="0.3">
      <c r="A265" s="2">
        <v>264</v>
      </c>
      <c r="B265" s="2">
        <v>2</v>
      </c>
      <c r="C265" s="2">
        <v>4</v>
      </c>
      <c r="D265" s="2">
        <v>5</v>
      </c>
      <c r="E265" s="2">
        <v>4</v>
      </c>
      <c r="F265" s="2">
        <v>3</v>
      </c>
      <c r="G265" s="2">
        <v>25</v>
      </c>
    </row>
    <row r="266" spans="1:7" x14ac:dyDescent="0.3">
      <c r="A266" s="2">
        <v>265</v>
      </c>
      <c r="B266" s="2">
        <v>2</v>
      </c>
      <c r="C266" s="2">
        <v>4</v>
      </c>
      <c r="D266" s="2">
        <v>5</v>
      </c>
      <c r="E266" s="2">
        <v>5</v>
      </c>
      <c r="F266" s="2">
        <v>1</v>
      </c>
      <c r="G266" s="2">
        <v>35</v>
      </c>
    </row>
    <row r="267" spans="1:7" x14ac:dyDescent="0.3">
      <c r="A267" s="2">
        <v>266</v>
      </c>
      <c r="B267" s="2">
        <v>2</v>
      </c>
      <c r="C267" s="2">
        <v>4</v>
      </c>
      <c r="D267" s="2">
        <v>5</v>
      </c>
      <c r="E267" s="2">
        <v>5</v>
      </c>
      <c r="F267" s="2">
        <v>2</v>
      </c>
      <c r="G267" s="2">
        <v>30</v>
      </c>
    </row>
    <row r="268" spans="1:7" x14ac:dyDescent="0.3">
      <c r="A268" s="2">
        <v>267</v>
      </c>
      <c r="B268" s="2">
        <v>2</v>
      </c>
      <c r="C268" s="2">
        <v>4</v>
      </c>
      <c r="D268" s="2">
        <v>5</v>
      </c>
      <c r="E268" s="2">
        <v>5</v>
      </c>
      <c r="F268" s="2">
        <v>3</v>
      </c>
      <c r="G268" s="2">
        <v>25</v>
      </c>
    </row>
    <row r="269" spans="1:7" x14ac:dyDescent="0.3">
      <c r="A269" s="2">
        <v>268</v>
      </c>
      <c r="B269" s="2">
        <v>2</v>
      </c>
      <c r="C269" s="2">
        <v>4</v>
      </c>
      <c r="D269" s="2">
        <v>5</v>
      </c>
      <c r="E269" s="2">
        <v>6</v>
      </c>
      <c r="F269" s="2">
        <v>1</v>
      </c>
      <c r="G269" s="2">
        <v>35</v>
      </c>
    </row>
    <row r="270" spans="1:7" x14ac:dyDescent="0.3">
      <c r="A270" s="2">
        <v>269</v>
      </c>
      <c r="B270" s="2">
        <v>2</v>
      </c>
      <c r="C270" s="2">
        <v>4</v>
      </c>
      <c r="D270" s="2">
        <v>5</v>
      </c>
      <c r="E270" s="2">
        <v>6</v>
      </c>
      <c r="F270" s="2">
        <v>2</v>
      </c>
      <c r="G270" s="2">
        <v>30</v>
      </c>
    </row>
    <row r="271" spans="1:7" x14ac:dyDescent="0.3">
      <c r="A271" s="2">
        <v>270</v>
      </c>
      <c r="B271" s="2">
        <v>2</v>
      </c>
      <c r="C271" s="2">
        <v>4</v>
      </c>
      <c r="D271" s="2">
        <v>5</v>
      </c>
      <c r="E271" s="2">
        <v>6</v>
      </c>
      <c r="F271" s="2">
        <v>3</v>
      </c>
      <c r="G271" s="2">
        <v>25</v>
      </c>
    </row>
    <row r="272" spans="1:7" x14ac:dyDescent="0.3">
      <c r="A272" s="2">
        <v>271</v>
      </c>
      <c r="B272" s="2">
        <v>2</v>
      </c>
      <c r="C272" s="2">
        <v>4</v>
      </c>
      <c r="D272" s="2">
        <v>5</v>
      </c>
      <c r="E272" s="2">
        <v>7</v>
      </c>
      <c r="F272" s="2">
        <v>1</v>
      </c>
      <c r="G272" s="2">
        <v>40</v>
      </c>
    </row>
    <row r="273" spans="1:7" x14ac:dyDescent="0.3">
      <c r="A273" s="2">
        <v>272</v>
      </c>
      <c r="B273" s="2">
        <v>2</v>
      </c>
      <c r="C273" s="2">
        <v>4</v>
      </c>
      <c r="D273" s="2">
        <v>5</v>
      </c>
      <c r="E273" s="2">
        <v>7</v>
      </c>
      <c r="F273" s="2">
        <v>2</v>
      </c>
      <c r="G273" s="2">
        <v>35</v>
      </c>
    </row>
    <row r="274" spans="1:7" x14ac:dyDescent="0.3">
      <c r="A274" s="2">
        <v>273</v>
      </c>
      <c r="B274" s="2">
        <v>2</v>
      </c>
      <c r="C274" s="2">
        <v>4</v>
      </c>
      <c r="D274" s="2">
        <v>5</v>
      </c>
      <c r="E274" s="2">
        <v>7</v>
      </c>
      <c r="F274" s="2">
        <v>3</v>
      </c>
      <c r="G274" s="2">
        <v>30</v>
      </c>
    </row>
    <row r="275" spans="1:7" x14ac:dyDescent="0.3">
      <c r="A275" s="2">
        <v>274</v>
      </c>
      <c r="B275" s="2">
        <v>2</v>
      </c>
      <c r="C275" s="2">
        <v>4</v>
      </c>
      <c r="D275" s="2">
        <v>5</v>
      </c>
      <c r="E275" s="2">
        <v>8</v>
      </c>
      <c r="F275" s="2">
        <v>1</v>
      </c>
      <c r="G275" s="2">
        <v>40</v>
      </c>
    </row>
    <row r="276" spans="1:7" x14ac:dyDescent="0.3">
      <c r="A276" s="2">
        <v>275</v>
      </c>
      <c r="B276" s="2">
        <v>2</v>
      </c>
      <c r="C276" s="2">
        <v>4</v>
      </c>
      <c r="D276" s="2">
        <v>5</v>
      </c>
      <c r="E276" s="2">
        <v>8</v>
      </c>
      <c r="F276" s="2">
        <v>2</v>
      </c>
      <c r="G276" s="2">
        <v>35</v>
      </c>
    </row>
    <row r="277" spans="1:7" x14ac:dyDescent="0.3">
      <c r="A277" s="2">
        <v>276</v>
      </c>
      <c r="B277" s="2">
        <v>2</v>
      </c>
      <c r="C277" s="2">
        <v>4</v>
      </c>
      <c r="D277" s="2">
        <v>5</v>
      </c>
      <c r="E277" s="2">
        <v>8</v>
      </c>
      <c r="F277" s="2">
        <v>3</v>
      </c>
      <c r="G277" s="2">
        <v>30</v>
      </c>
    </row>
    <row r="278" spans="1:7" x14ac:dyDescent="0.3">
      <c r="A278" s="2">
        <v>277</v>
      </c>
      <c r="B278" s="2">
        <v>2</v>
      </c>
      <c r="C278" s="2">
        <v>4</v>
      </c>
      <c r="D278" s="2">
        <v>5</v>
      </c>
      <c r="E278" s="2">
        <v>9</v>
      </c>
      <c r="F278" s="2">
        <v>1</v>
      </c>
      <c r="G278" s="2">
        <v>40</v>
      </c>
    </row>
    <row r="279" spans="1:7" x14ac:dyDescent="0.3">
      <c r="A279" s="2">
        <v>278</v>
      </c>
      <c r="B279" s="2">
        <v>2</v>
      </c>
      <c r="C279" s="2">
        <v>4</v>
      </c>
      <c r="D279" s="2">
        <v>5</v>
      </c>
      <c r="E279" s="2">
        <v>9</v>
      </c>
      <c r="F279" s="2">
        <v>2</v>
      </c>
      <c r="G279" s="2">
        <v>35</v>
      </c>
    </row>
    <row r="280" spans="1:7" x14ac:dyDescent="0.3">
      <c r="A280" s="2">
        <v>279</v>
      </c>
      <c r="B280" s="2">
        <v>2</v>
      </c>
      <c r="C280" s="2">
        <v>4</v>
      </c>
      <c r="D280" s="2">
        <v>5</v>
      </c>
      <c r="E280" s="2">
        <v>9</v>
      </c>
      <c r="F280" s="2">
        <v>3</v>
      </c>
      <c r="G280" s="2">
        <v>30</v>
      </c>
    </row>
    <row r="281" spans="1:7" x14ac:dyDescent="0.3">
      <c r="A281" s="2">
        <v>280</v>
      </c>
      <c r="B281" s="2">
        <v>2</v>
      </c>
      <c r="C281" s="2">
        <v>4</v>
      </c>
      <c r="D281" s="2">
        <v>5</v>
      </c>
      <c r="E281" s="2">
        <v>10</v>
      </c>
      <c r="F281" s="2">
        <v>1</v>
      </c>
      <c r="G281" s="2">
        <v>40</v>
      </c>
    </row>
    <row r="282" spans="1:7" x14ac:dyDescent="0.3">
      <c r="A282" s="2">
        <v>281</v>
      </c>
      <c r="B282" s="2">
        <v>2</v>
      </c>
      <c r="C282" s="2">
        <v>4</v>
      </c>
      <c r="D282" s="2">
        <v>5</v>
      </c>
      <c r="E282" s="2">
        <v>10</v>
      </c>
      <c r="F282" s="2">
        <v>2</v>
      </c>
      <c r="G282" s="2">
        <v>35</v>
      </c>
    </row>
    <row r="283" spans="1:7" x14ac:dyDescent="0.3">
      <c r="A283" s="2">
        <v>282</v>
      </c>
      <c r="B283" s="2">
        <v>2</v>
      </c>
      <c r="C283" s="2">
        <v>4</v>
      </c>
      <c r="D283" s="2">
        <v>5</v>
      </c>
      <c r="E283" s="2">
        <v>10</v>
      </c>
      <c r="F283" s="2">
        <v>3</v>
      </c>
      <c r="G283" s="2">
        <v>30</v>
      </c>
    </row>
    <row r="284" spans="1:7" x14ac:dyDescent="0.3">
      <c r="A284" s="2">
        <v>283</v>
      </c>
      <c r="B284" s="2">
        <v>2</v>
      </c>
      <c r="C284" s="2">
        <v>4</v>
      </c>
      <c r="D284" s="2">
        <v>5</v>
      </c>
      <c r="E284" s="2">
        <v>11</v>
      </c>
      <c r="F284" s="2">
        <v>1</v>
      </c>
      <c r="G284" s="2">
        <v>48</v>
      </c>
    </row>
    <row r="285" spans="1:7" x14ac:dyDescent="0.3">
      <c r="A285" s="2">
        <v>284</v>
      </c>
      <c r="B285" s="2">
        <v>2</v>
      </c>
      <c r="C285" s="2">
        <v>4</v>
      </c>
      <c r="D285" s="2">
        <v>5</v>
      </c>
      <c r="E285" s="2">
        <v>11</v>
      </c>
      <c r="F285" s="2">
        <v>2</v>
      </c>
      <c r="G285" s="2">
        <v>43</v>
      </c>
    </row>
    <row r="286" spans="1:7" x14ac:dyDescent="0.3">
      <c r="A286" s="2">
        <v>285</v>
      </c>
      <c r="B286" s="2">
        <v>2</v>
      </c>
      <c r="C286" s="2">
        <v>4</v>
      </c>
      <c r="D286" s="2">
        <v>5</v>
      </c>
      <c r="E286" s="2">
        <v>11</v>
      </c>
      <c r="F286" s="2">
        <v>3</v>
      </c>
      <c r="G286" s="2">
        <v>38</v>
      </c>
    </row>
    <row r="287" spans="1:7" x14ac:dyDescent="0.3">
      <c r="A287" s="2">
        <v>286</v>
      </c>
      <c r="B287" s="2">
        <v>2</v>
      </c>
      <c r="C287" s="2">
        <v>4</v>
      </c>
      <c r="D287" s="2">
        <v>5</v>
      </c>
      <c r="E287" s="2">
        <v>12</v>
      </c>
      <c r="F287" s="2">
        <v>1</v>
      </c>
      <c r="G287" s="2">
        <v>50</v>
      </c>
    </row>
    <row r="288" spans="1:7" x14ac:dyDescent="0.3">
      <c r="A288" s="2">
        <v>287</v>
      </c>
      <c r="B288" s="2">
        <v>2</v>
      </c>
      <c r="C288" s="2">
        <v>4</v>
      </c>
      <c r="D288" s="2">
        <v>5</v>
      </c>
      <c r="E288" s="2">
        <v>12</v>
      </c>
      <c r="F288" s="2">
        <v>2</v>
      </c>
      <c r="G288" s="2">
        <v>45</v>
      </c>
    </row>
    <row r="289" spans="1:7" x14ac:dyDescent="0.3">
      <c r="A289" s="2">
        <v>288</v>
      </c>
      <c r="B289" s="2">
        <v>2</v>
      </c>
      <c r="C289" s="2">
        <v>4</v>
      </c>
      <c r="D289" s="2">
        <v>5</v>
      </c>
      <c r="E289" s="2">
        <v>12</v>
      </c>
      <c r="F289" s="2">
        <v>3</v>
      </c>
      <c r="G289" s="2">
        <v>40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D331-5A07-4996-A396-41CD0E21DB3C}">
  <dimension ref="A1:E17"/>
  <sheetViews>
    <sheetView workbookViewId="0">
      <selection activeCell="D1" sqref="D1"/>
    </sheetView>
  </sheetViews>
  <sheetFormatPr baseColWidth="10" defaultColWidth="11.44140625" defaultRowHeight="14.4" x14ac:dyDescent="0.3"/>
  <cols>
    <col min="1" max="1" width="19" bestFit="1" customWidth="1"/>
    <col min="2" max="2" width="21.6640625" bestFit="1" customWidth="1"/>
    <col min="3" max="3" width="13.33203125" bestFit="1" customWidth="1"/>
    <col min="5" max="5" width="13.33203125" bestFit="1" customWidth="1"/>
  </cols>
  <sheetData>
    <row r="1" spans="1:5" x14ac:dyDescent="0.3">
      <c r="A1" s="2" t="s">
        <v>36</v>
      </c>
      <c r="B1" s="2" t="s">
        <v>33</v>
      </c>
      <c r="C1" s="2" t="s">
        <v>37</v>
      </c>
      <c r="D1" s="2" t="s">
        <v>26</v>
      </c>
      <c r="E1" s="2" t="s">
        <v>34</v>
      </c>
    </row>
    <row r="2" spans="1:5" x14ac:dyDescent="0.3">
      <c r="A2" s="2">
        <v>1</v>
      </c>
      <c r="B2" s="2">
        <v>1</v>
      </c>
      <c r="C2" s="2">
        <v>1</v>
      </c>
      <c r="D2" s="2">
        <v>8</v>
      </c>
      <c r="E2" s="2">
        <v>35</v>
      </c>
    </row>
    <row r="3" spans="1:5" x14ac:dyDescent="0.3">
      <c r="A3" s="2">
        <v>2</v>
      </c>
      <c r="B3" s="2">
        <v>1</v>
      </c>
      <c r="C3" s="2">
        <v>1</v>
      </c>
      <c r="D3" s="2">
        <v>9</v>
      </c>
      <c r="E3" s="2">
        <v>35</v>
      </c>
    </row>
    <row r="4" spans="1:5" x14ac:dyDescent="0.3">
      <c r="A4" s="2">
        <v>3</v>
      </c>
      <c r="B4" s="2">
        <v>1</v>
      </c>
      <c r="C4" s="2">
        <v>1</v>
      </c>
      <c r="D4" s="2">
        <v>10</v>
      </c>
      <c r="E4" s="2">
        <v>35</v>
      </c>
    </row>
    <row r="5" spans="1:5" x14ac:dyDescent="0.3">
      <c r="A5" s="2">
        <v>4</v>
      </c>
      <c r="B5" s="2">
        <v>1</v>
      </c>
      <c r="C5" s="2">
        <v>1</v>
      </c>
      <c r="D5" s="2">
        <v>11</v>
      </c>
      <c r="E5" s="2">
        <v>38</v>
      </c>
    </row>
    <row r="6" spans="1:5" x14ac:dyDescent="0.3">
      <c r="A6" s="2">
        <v>5</v>
      </c>
      <c r="B6" s="2">
        <v>1</v>
      </c>
      <c r="C6" s="2">
        <v>2</v>
      </c>
      <c r="D6" s="2">
        <v>8</v>
      </c>
      <c r="E6" s="2">
        <v>25</v>
      </c>
    </row>
    <row r="7" spans="1:5" x14ac:dyDescent="0.3">
      <c r="A7" s="2">
        <v>6</v>
      </c>
      <c r="B7" s="2">
        <v>1</v>
      </c>
      <c r="C7" s="2">
        <v>2</v>
      </c>
      <c r="D7" s="2">
        <v>9</v>
      </c>
      <c r="E7" s="2">
        <v>25</v>
      </c>
    </row>
    <row r="8" spans="1:5" x14ac:dyDescent="0.3">
      <c r="A8" s="2">
        <v>7</v>
      </c>
      <c r="B8" s="2">
        <v>1</v>
      </c>
      <c r="C8" s="2">
        <v>2</v>
      </c>
      <c r="D8" s="2">
        <v>10</v>
      </c>
      <c r="E8" s="2">
        <v>25</v>
      </c>
    </row>
    <row r="9" spans="1:5" x14ac:dyDescent="0.3">
      <c r="A9" s="2">
        <v>8</v>
      </c>
      <c r="B9" s="2">
        <v>1</v>
      </c>
      <c r="C9" s="2">
        <v>2</v>
      </c>
      <c r="D9" s="2">
        <v>11</v>
      </c>
      <c r="E9" s="2">
        <v>28</v>
      </c>
    </row>
    <row r="10" spans="1:5" x14ac:dyDescent="0.3">
      <c r="A10" s="2">
        <v>9</v>
      </c>
      <c r="B10" s="2">
        <v>2</v>
      </c>
      <c r="C10" s="2">
        <v>1</v>
      </c>
      <c r="D10" s="2">
        <v>8</v>
      </c>
      <c r="E10" s="2">
        <v>30</v>
      </c>
    </row>
    <row r="11" spans="1:5" x14ac:dyDescent="0.3">
      <c r="A11" s="2">
        <v>10</v>
      </c>
      <c r="B11" s="2">
        <v>2</v>
      </c>
      <c r="C11" s="2">
        <v>1</v>
      </c>
      <c r="D11" s="2">
        <v>9</v>
      </c>
      <c r="E11" s="2">
        <v>30</v>
      </c>
    </row>
    <row r="12" spans="1:5" x14ac:dyDescent="0.3">
      <c r="A12" s="2">
        <v>11</v>
      </c>
      <c r="B12" s="2">
        <v>2</v>
      </c>
      <c r="C12" s="2">
        <v>1</v>
      </c>
      <c r="D12" s="2">
        <v>10</v>
      </c>
      <c r="E12" s="2">
        <v>30</v>
      </c>
    </row>
    <row r="13" spans="1:5" x14ac:dyDescent="0.3">
      <c r="A13" s="2">
        <v>12</v>
      </c>
      <c r="B13" s="2">
        <v>2</v>
      </c>
      <c r="C13" s="2">
        <v>1</v>
      </c>
      <c r="D13" s="2">
        <v>11</v>
      </c>
      <c r="E13" s="2">
        <v>33</v>
      </c>
    </row>
    <row r="14" spans="1:5" x14ac:dyDescent="0.3">
      <c r="A14" s="2">
        <v>13</v>
      </c>
      <c r="B14" s="2">
        <v>2</v>
      </c>
      <c r="C14" s="2">
        <v>2</v>
      </c>
      <c r="D14" s="2">
        <v>8</v>
      </c>
      <c r="E14" s="2">
        <v>20</v>
      </c>
    </row>
    <row r="15" spans="1:5" x14ac:dyDescent="0.3">
      <c r="A15" s="2">
        <v>14</v>
      </c>
      <c r="B15" s="2">
        <v>2</v>
      </c>
      <c r="C15" s="2">
        <v>2</v>
      </c>
      <c r="D15" s="2">
        <v>9</v>
      </c>
      <c r="E15" s="2">
        <v>20</v>
      </c>
    </row>
    <row r="16" spans="1:5" x14ac:dyDescent="0.3">
      <c r="A16" s="2">
        <v>15</v>
      </c>
      <c r="B16" s="2">
        <v>2</v>
      </c>
      <c r="C16" s="2">
        <v>2</v>
      </c>
      <c r="D16" s="2">
        <v>10</v>
      </c>
      <c r="E16" s="2">
        <v>20</v>
      </c>
    </row>
    <row r="17" spans="1:5" x14ac:dyDescent="0.3">
      <c r="A17" s="2">
        <v>16</v>
      </c>
      <c r="B17" s="2">
        <v>2</v>
      </c>
      <c r="C17" s="2">
        <v>2</v>
      </c>
      <c r="D17" s="2">
        <v>11</v>
      </c>
      <c r="E17" s="2">
        <v>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5A36-C67E-4FAC-96BD-CD09417059B2}">
  <dimension ref="A1:E19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6" customWidth="1"/>
    <col min="2" max="2" width="19.109375" customWidth="1"/>
  </cols>
  <sheetData>
    <row r="1" spans="1:5" x14ac:dyDescent="0.3">
      <c r="A1" t="s">
        <v>38</v>
      </c>
      <c r="B1" t="s">
        <v>33</v>
      </c>
      <c r="C1" t="s">
        <v>26</v>
      </c>
      <c r="D1" t="s">
        <v>18</v>
      </c>
      <c r="E1" t="s">
        <v>34</v>
      </c>
    </row>
    <row r="2" spans="1:5" x14ac:dyDescent="0.3">
      <c r="A2" s="2">
        <v>1</v>
      </c>
      <c r="B2" s="2">
        <v>1</v>
      </c>
      <c r="C2" s="2">
        <v>13</v>
      </c>
      <c r="D2" s="2">
        <v>1</v>
      </c>
      <c r="E2" s="2">
        <v>30</v>
      </c>
    </row>
    <row r="3" spans="1:5" x14ac:dyDescent="0.3">
      <c r="A3" s="2">
        <v>2</v>
      </c>
      <c r="B3" s="2">
        <v>1</v>
      </c>
      <c r="C3" s="2">
        <v>13</v>
      </c>
      <c r="D3" s="2">
        <v>2</v>
      </c>
      <c r="E3" s="2">
        <v>25</v>
      </c>
    </row>
    <row r="4" spans="1:5" x14ac:dyDescent="0.3">
      <c r="A4" s="2">
        <v>3</v>
      </c>
      <c r="B4" s="2">
        <v>1</v>
      </c>
      <c r="C4" s="2">
        <v>13</v>
      </c>
      <c r="D4" s="2">
        <v>3</v>
      </c>
      <c r="E4" s="2">
        <v>23</v>
      </c>
    </row>
    <row r="5" spans="1:5" x14ac:dyDescent="0.3">
      <c r="A5" s="2">
        <v>4</v>
      </c>
      <c r="B5" s="2">
        <v>1</v>
      </c>
      <c r="C5" s="2">
        <v>14</v>
      </c>
      <c r="D5" s="2">
        <v>1</v>
      </c>
      <c r="E5" s="2">
        <v>30</v>
      </c>
    </row>
    <row r="6" spans="1:5" x14ac:dyDescent="0.3">
      <c r="A6" s="2">
        <v>5</v>
      </c>
      <c r="B6" s="2">
        <v>1</v>
      </c>
      <c r="C6" s="2">
        <v>14</v>
      </c>
      <c r="D6" s="2">
        <v>2</v>
      </c>
      <c r="E6" s="2">
        <v>25</v>
      </c>
    </row>
    <row r="7" spans="1:5" x14ac:dyDescent="0.3">
      <c r="A7" s="2">
        <v>6</v>
      </c>
      <c r="B7" s="2">
        <v>1</v>
      </c>
      <c r="C7" s="2">
        <v>14</v>
      </c>
      <c r="D7" s="2">
        <v>3</v>
      </c>
      <c r="E7" s="2">
        <v>23</v>
      </c>
    </row>
    <row r="8" spans="1:5" x14ac:dyDescent="0.3">
      <c r="A8" s="2">
        <v>7</v>
      </c>
      <c r="B8" s="2">
        <v>1</v>
      </c>
      <c r="C8" s="2">
        <v>15</v>
      </c>
      <c r="D8" s="2">
        <v>1</v>
      </c>
      <c r="E8" s="2">
        <v>30</v>
      </c>
    </row>
    <row r="9" spans="1:5" x14ac:dyDescent="0.3">
      <c r="A9" s="2">
        <v>8</v>
      </c>
      <c r="B9" s="2">
        <v>1</v>
      </c>
      <c r="C9" s="2">
        <v>15</v>
      </c>
      <c r="D9" s="2">
        <v>2</v>
      </c>
      <c r="E9" s="2">
        <v>25</v>
      </c>
    </row>
    <row r="10" spans="1:5" x14ac:dyDescent="0.3">
      <c r="A10" s="2">
        <v>9</v>
      </c>
      <c r="B10" s="2">
        <v>1</v>
      </c>
      <c r="C10" s="2">
        <v>15</v>
      </c>
      <c r="D10" s="2">
        <v>3</v>
      </c>
      <c r="E10" s="2">
        <v>23</v>
      </c>
    </row>
    <row r="11" spans="1:5" x14ac:dyDescent="0.3">
      <c r="A11" s="2">
        <v>10</v>
      </c>
      <c r="B11" s="2">
        <v>2</v>
      </c>
      <c r="C11" s="2">
        <v>13</v>
      </c>
      <c r="D11" s="2">
        <v>1</v>
      </c>
      <c r="E11" s="2">
        <v>23</v>
      </c>
    </row>
    <row r="12" spans="1:5" x14ac:dyDescent="0.3">
      <c r="A12" s="2">
        <v>11</v>
      </c>
      <c r="B12" s="2">
        <v>2</v>
      </c>
      <c r="C12" s="2">
        <v>13</v>
      </c>
      <c r="D12" s="2">
        <v>2</v>
      </c>
      <c r="E12" s="2">
        <v>20</v>
      </c>
    </row>
    <row r="13" spans="1:5" x14ac:dyDescent="0.3">
      <c r="A13" s="2">
        <v>12</v>
      </c>
      <c r="B13" s="2">
        <v>2</v>
      </c>
      <c r="C13" s="2">
        <v>13</v>
      </c>
      <c r="D13" s="2">
        <v>3</v>
      </c>
      <c r="E13" s="2">
        <v>18</v>
      </c>
    </row>
    <row r="14" spans="1:5" x14ac:dyDescent="0.3">
      <c r="A14" s="2">
        <v>13</v>
      </c>
      <c r="B14" s="2">
        <v>2</v>
      </c>
      <c r="C14" s="2">
        <v>14</v>
      </c>
      <c r="D14" s="2">
        <v>1</v>
      </c>
      <c r="E14" s="2">
        <v>23</v>
      </c>
    </row>
    <row r="15" spans="1:5" x14ac:dyDescent="0.3">
      <c r="A15" s="2">
        <v>14</v>
      </c>
      <c r="B15" s="2">
        <v>2</v>
      </c>
      <c r="C15" s="2">
        <v>14</v>
      </c>
      <c r="D15" s="2">
        <v>2</v>
      </c>
      <c r="E15" s="2">
        <v>20</v>
      </c>
    </row>
    <row r="16" spans="1:5" x14ac:dyDescent="0.3">
      <c r="A16" s="2">
        <v>15</v>
      </c>
      <c r="B16" s="2">
        <v>2</v>
      </c>
      <c r="C16" s="2">
        <v>14</v>
      </c>
      <c r="D16" s="2">
        <v>3</v>
      </c>
      <c r="E16" s="2">
        <v>18</v>
      </c>
    </row>
    <row r="17" spans="1:5" x14ac:dyDescent="0.3">
      <c r="A17" s="2">
        <v>16</v>
      </c>
      <c r="B17" s="2">
        <v>2</v>
      </c>
      <c r="C17" s="2">
        <v>15</v>
      </c>
      <c r="D17" s="2">
        <v>1</v>
      </c>
      <c r="E17" s="2">
        <v>23</v>
      </c>
    </row>
    <row r="18" spans="1:5" x14ac:dyDescent="0.3">
      <c r="A18" s="2">
        <v>17</v>
      </c>
      <c r="B18" s="2">
        <v>2</v>
      </c>
      <c r="C18" s="2">
        <v>15</v>
      </c>
      <c r="D18" s="2">
        <v>2</v>
      </c>
      <c r="E18" s="2">
        <v>20</v>
      </c>
    </row>
    <row r="19" spans="1:5" x14ac:dyDescent="0.3">
      <c r="A19" s="2">
        <v>18</v>
      </c>
      <c r="B19" s="2">
        <v>2</v>
      </c>
      <c r="C19" s="2">
        <v>15</v>
      </c>
      <c r="D19" s="2">
        <v>3</v>
      </c>
      <c r="E19" s="2">
        <v>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7BE9-637D-49F4-8903-06F2CF0B6167}">
  <dimension ref="A1:B5"/>
  <sheetViews>
    <sheetView workbookViewId="0">
      <selection activeCell="A7" sqref="A7"/>
    </sheetView>
  </sheetViews>
  <sheetFormatPr baseColWidth="10" defaultColWidth="11.44140625" defaultRowHeight="14.4" x14ac:dyDescent="0.3"/>
  <sheetData>
    <row r="1" spans="1:2" x14ac:dyDescent="0.3">
      <c r="A1" s="2" t="s">
        <v>27</v>
      </c>
      <c r="B1" s="2" t="s">
        <v>39</v>
      </c>
    </row>
    <row r="2" spans="1:2" x14ac:dyDescent="0.3">
      <c r="A2" s="2">
        <v>1</v>
      </c>
      <c r="B2" s="2" t="s">
        <v>1</v>
      </c>
    </row>
    <row r="3" spans="1:2" x14ac:dyDescent="0.3">
      <c r="A3" s="2">
        <v>2</v>
      </c>
      <c r="B3" s="2" t="s">
        <v>40</v>
      </c>
    </row>
    <row r="4" spans="1:2" x14ac:dyDescent="0.3">
      <c r="A4" s="2">
        <v>3</v>
      </c>
      <c r="B4" s="2" t="s">
        <v>41</v>
      </c>
    </row>
    <row r="5" spans="1:2" x14ac:dyDescent="0.3">
      <c r="A5" s="2">
        <v>4</v>
      </c>
      <c r="B5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92F1-9CB6-4CD0-BDD3-D2731ED05040}">
  <dimension ref="A1:D9"/>
  <sheetViews>
    <sheetView workbookViewId="0">
      <selection activeCell="D10" sqref="D10"/>
    </sheetView>
  </sheetViews>
  <sheetFormatPr baseColWidth="10" defaultColWidth="11.44140625" defaultRowHeight="14.4" x14ac:dyDescent="0.3"/>
  <cols>
    <col min="1" max="1" width="19.109375" customWidth="1"/>
    <col min="2" max="2" width="23.33203125" bestFit="1" customWidth="1"/>
    <col min="3" max="3" width="14.6640625" customWidth="1"/>
  </cols>
  <sheetData>
    <row r="1" spans="1:4" x14ac:dyDescent="0.3">
      <c r="A1" s="2" t="s">
        <v>33</v>
      </c>
      <c r="B1" s="2" t="s">
        <v>43</v>
      </c>
      <c r="C1" s="2" t="s">
        <v>44</v>
      </c>
      <c r="D1" s="2" t="s">
        <v>45</v>
      </c>
    </row>
    <row r="2" spans="1:4" x14ac:dyDescent="0.3">
      <c r="A2" s="2">
        <v>1</v>
      </c>
      <c r="B2" s="2" t="s">
        <v>46</v>
      </c>
      <c r="C2" s="2" t="s">
        <v>47</v>
      </c>
      <c r="D2" s="2" t="s">
        <v>48</v>
      </c>
    </row>
    <row r="3" spans="1:4" x14ac:dyDescent="0.3">
      <c r="A3" s="2">
        <v>2</v>
      </c>
      <c r="B3" s="2" t="s">
        <v>3</v>
      </c>
      <c r="C3" s="2" t="s">
        <v>49</v>
      </c>
      <c r="D3" s="2" t="s">
        <v>48</v>
      </c>
    </row>
    <row r="4" spans="1:4" x14ac:dyDescent="0.3">
      <c r="A4" s="2">
        <v>3</v>
      </c>
      <c r="B4" s="2" t="s">
        <v>50</v>
      </c>
      <c r="C4" s="2" t="s">
        <v>49</v>
      </c>
      <c r="D4" s="2" t="s">
        <v>48</v>
      </c>
    </row>
    <row r="5" spans="1:4" x14ac:dyDescent="0.3">
      <c r="A5" s="2">
        <v>4</v>
      </c>
      <c r="B5" s="2" t="s">
        <v>51</v>
      </c>
      <c r="C5" s="2" t="s">
        <v>49</v>
      </c>
      <c r="D5" s="2" t="s">
        <v>52</v>
      </c>
    </row>
    <row r="6" spans="1:4" x14ac:dyDescent="0.3">
      <c r="A6" s="2">
        <v>5</v>
      </c>
      <c r="B6" s="2" t="s">
        <v>53</v>
      </c>
      <c r="C6" s="2" t="s">
        <v>49</v>
      </c>
      <c r="D6" s="2" t="s">
        <v>52</v>
      </c>
    </row>
    <row r="7" spans="1:4" x14ac:dyDescent="0.3">
      <c r="A7" s="2">
        <v>6</v>
      </c>
      <c r="B7" s="2" t="s">
        <v>54</v>
      </c>
      <c r="C7" s="2" t="s">
        <v>49</v>
      </c>
      <c r="D7" s="2" t="s">
        <v>55</v>
      </c>
    </row>
    <row r="8" spans="1:4" x14ac:dyDescent="0.3">
      <c r="A8" s="2">
        <v>7</v>
      </c>
      <c r="B8" s="2" t="s">
        <v>56</v>
      </c>
      <c r="C8" s="2" t="s">
        <v>49</v>
      </c>
      <c r="D8" s="2" t="s">
        <v>55</v>
      </c>
    </row>
    <row r="9" spans="1:4" x14ac:dyDescent="0.3">
      <c r="A9" s="2">
        <v>8</v>
      </c>
      <c r="B9" s="2" t="s">
        <v>57</v>
      </c>
      <c r="C9" s="2" t="s">
        <v>49</v>
      </c>
      <c r="D9" s="2" t="s">
        <v>55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B2F6-D1E0-409E-94B1-4AC1DE103720}">
  <dimension ref="A1:B14"/>
  <sheetViews>
    <sheetView workbookViewId="0">
      <selection activeCell="B2" sqref="B2"/>
    </sheetView>
  </sheetViews>
  <sheetFormatPr baseColWidth="10" defaultColWidth="11.44140625" defaultRowHeight="14.4" x14ac:dyDescent="0.3"/>
  <sheetData>
    <row r="1" spans="1:2" x14ac:dyDescent="0.3">
      <c r="A1" s="2" t="s">
        <v>30</v>
      </c>
      <c r="B1" s="2" t="s">
        <v>58</v>
      </c>
    </row>
    <row r="2" spans="1:2" x14ac:dyDescent="0.3">
      <c r="A2" s="2">
        <v>1</v>
      </c>
      <c r="B2" s="2" t="s">
        <v>59</v>
      </c>
    </row>
    <row r="3" spans="1:2" x14ac:dyDescent="0.3">
      <c r="A3" s="2">
        <v>2</v>
      </c>
      <c r="B3" s="2" t="s">
        <v>60</v>
      </c>
    </row>
    <row r="4" spans="1:2" x14ac:dyDescent="0.3">
      <c r="A4" s="2">
        <v>3</v>
      </c>
      <c r="B4" s="2" t="s">
        <v>61</v>
      </c>
    </row>
    <row r="5" spans="1:2" x14ac:dyDescent="0.3">
      <c r="A5" s="2">
        <v>4</v>
      </c>
      <c r="B5" s="2" t="s">
        <v>8</v>
      </c>
    </row>
    <row r="6" spans="1:2" x14ac:dyDescent="0.3">
      <c r="A6" s="2">
        <v>5</v>
      </c>
      <c r="B6" s="2" t="s">
        <v>62</v>
      </c>
    </row>
    <row r="7" spans="1:2" x14ac:dyDescent="0.3">
      <c r="A7" s="2">
        <v>6</v>
      </c>
      <c r="B7" s="2" t="s">
        <v>63</v>
      </c>
    </row>
    <row r="8" spans="1:2" x14ac:dyDescent="0.3">
      <c r="A8" s="2">
        <v>7</v>
      </c>
      <c r="B8" s="2" t="s">
        <v>64</v>
      </c>
    </row>
    <row r="9" spans="1:2" x14ac:dyDescent="0.3">
      <c r="A9" s="2">
        <v>8</v>
      </c>
      <c r="B9" s="2" t="s">
        <v>65</v>
      </c>
    </row>
    <row r="10" spans="1:2" x14ac:dyDescent="0.3">
      <c r="A10" s="2">
        <v>9</v>
      </c>
      <c r="B10" s="2" t="s">
        <v>66</v>
      </c>
    </row>
    <row r="11" spans="1:2" x14ac:dyDescent="0.3">
      <c r="A11" s="2">
        <v>10</v>
      </c>
      <c r="B11" s="2" t="s">
        <v>67</v>
      </c>
    </row>
    <row r="12" spans="1:2" x14ac:dyDescent="0.3">
      <c r="A12" s="2">
        <v>11</v>
      </c>
      <c r="B12" s="2" t="s">
        <v>68</v>
      </c>
    </row>
    <row r="13" spans="1:2" x14ac:dyDescent="0.3">
      <c r="A13" s="2">
        <v>12</v>
      </c>
      <c r="B13" s="2" t="s">
        <v>69</v>
      </c>
    </row>
    <row r="14" spans="1:2" x14ac:dyDescent="0.3">
      <c r="A14" s="2">
        <v>13</v>
      </c>
      <c r="B14" s="2" t="s">
        <v>70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04F4-EB33-4380-A0AA-0420A09E071D}">
  <dimension ref="A1:C21"/>
  <sheetViews>
    <sheetView workbookViewId="0">
      <selection activeCell="B14" sqref="B14"/>
    </sheetView>
  </sheetViews>
  <sheetFormatPr baseColWidth="10" defaultColWidth="11.44140625" defaultRowHeight="14.4" x14ac:dyDescent="0.3"/>
  <sheetData>
    <row r="1" spans="1:3" x14ac:dyDescent="0.3">
      <c r="A1" s="3" t="s">
        <v>26</v>
      </c>
      <c r="B1" s="3" t="s">
        <v>71</v>
      </c>
      <c r="C1" s="3" t="s">
        <v>72</v>
      </c>
    </row>
    <row r="2" spans="1:3" x14ac:dyDescent="0.3">
      <c r="A2" s="3">
        <v>1</v>
      </c>
      <c r="B2" s="3" t="s">
        <v>73</v>
      </c>
      <c r="C2" s="3" t="s">
        <v>74</v>
      </c>
    </row>
    <row r="3" spans="1:3" x14ac:dyDescent="0.3">
      <c r="A3" s="3">
        <v>2</v>
      </c>
      <c r="B3" s="1" t="s">
        <v>75</v>
      </c>
      <c r="C3" s="3" t="s">
        <v>74</v>
      </c>
    </row>
    <row r="4" spans="1:3" x14ac:dyDescent="0.3">
      <c r="A4" s="3">
        <v>3</v>
      </c>
      <c r="B4" s="1" t="s">
        <v>76</v>
      </c>
      <c r="C4" s="3" t="s">
        <v>74</v>
      </c>
    </row>
    <row r="5" spans="1:3" x14ac:dyDescent="0.3">
      <c r="A5" s="3">
        <v>4</v>
      </c>
      <c r="B5" s="1" t="s">
        <v>77</v>
      </c>
      <c r="C5" s="3" t="s">
        <v>74</v>
      </c>
    </row>
    <row r="6" spans="1:3" x14ac:dyDescent="0.3">
      <c r="A6" s="3">
        <v>5</v>
      </c>
      <c r="B6" s="1" t="s">
        <v>78</v>
      </c>
      <c r="C6" s="3" t="s">
        <v>74</v>
      </c>
    </row>
    <row r="7" spans="1:3" x14ac:dyDescent="0.3">
      <c r="A7" s="3">
        <v>6</v>
      </c>
      <c r="B7" s="1" t="s">
        <v>79</v>
      </c>
      <c r="C7" s="3" t="s">
        <v>74</v>
      </c>
    </row>
    <row r="8" spans="1:3" x14ac:dyDescent="0.3">
      <c r="A8" s="3">
        <v>7</v>
      </c>
      <c r="B8" s="1" t="s">
        <v>80</v>
      </c>
      <c r="C8" s="3" t="s">
        <v>81</v>
      </c>
    </row>
    <row r="9" spans="1:3" x14ac:dyDescent="0.3">
      <c r="A9" s="3">
        <v>8</v>
      </c>
      <c r="B9" s="1" t="s">
        <v>82</v>
      </c>
      <c r="C9" s="3" t="s">
        <v>81</v>
      </c>
    </row>
    <row r="10" spans="1:3" x14ac:dyDescent="0.3">
      <c r="A10" s="3">
        <v>9</v>
      </c>
      <c r="B10" s="1" t="s">
        <v>83</v>
      </c>
      <c r="C10" s="3" t="s">
        <v>81</v>
      </c>
    </row>
    <row r="11" spans="1:3" x14ac:dyDescent="0.3">
      <c r="A11" s="3">
        <v>10</v>
      </c>
      <c r="B11" s="1" t="s">
        <v>84</v>
      </c>
      <c r="C11" s="3" t="s">
        <v>81</v>
      </c>
    </row>
    <row r="12" spans="1:3" x14ac:dyDescent="0.3">
      <c r="A12" s="3">
        <v>11</v>
      </c>
      <c r="B12" s="1" t="s">
        <v>85</v>
      </c>
      <c r="C12" s="3" t="s">
        <v>81</v>
      </c>
    </row>
    <row r="13" spans="1:3" x14ac:dyDescent="0.3">
      <c r="A13" s="3">
        <v>12</v>
      </c>
      <c r="B13" s="1" t="s">
        <v>86</v>
      </c>
      <c r="C13" s="3" t="s">
        <v>81</v>
      </c>
    </row>
    <row r="14" spans="1:3" x14ac:dyDescent="0.3">
      <c r="A14" s="3">
        <v>13</v>
      </c>
      <c r="B14" s="1" t="s">
        <v>87</v>
      </c>
      <c r="C14" s="3" t="s">
        <v>88</v>
      </c>
    </row>
    <row r="15" spans="1:3" x14ac:dyDescent="0.3">
      <c r="A15" s="3">
        <v>14</v>
      </c>
      <c r="B15" s="1" t="s">
        <v>13</v>
      </c>
      <c r="C15" s="3" t="s">
        <v>88</v>
      </c>
    </row>
    <row r="16" spans="1:3" x14ac:dyDescent="0.3">
      <c r="A16" s="3">
        <v>15</v>
      </c>
      <c r="B16" s="4" t="s">
        <v>89</v>
      </c>
      <c r="C16" s="3" t="s">
        <v>88</v>
      </c>
    </row>
    <row r="17" spans="1:3" x14ac:dyDescent="0.3">
      <c r="A17" s="3"/>
      <c r="B17" s="3"/>
      <c r="C17" s="3"/>
    </row>
    <row r="18" spans="1:3" x14ac:dyDescent="0.3">
      <c r="A18" s="3"/>
      <c r="B18" s="3"/>
      <c r="C18" s="3"/>
    </row>
    <row r="19" spans="1:3" x14ac:dyDescent="0.3">
      <c r="A19" s="3"/>
    </row>
    <row r="20" spans="1:3" x14ac:dyDescent="0.3">
      <c r="A20" s="3"/>
    </row>
    <row r="21" spans="1:3" x14ac:dyDescent="0.3">
      <c r="A21" s="3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5FFA-BE34-42ED-962B-38B9BE219F62}">
  <dimension ref="A1:B6"/>
  <sheetViews>
    <sheetView workbookViewId="0">
      <selection activeCell="B3" sqref="B3"/>
    </sheetView>
  </sheetViews>
  <sheetFormatPr baseColWidth="10" defaultColWidth="11.44140625" defaultRowHeight="14.4" x14ac:dyDescent="0.3"/>
  <cols>
    <col min="2" max="2" width="18.33203125" customWidth="1"/>
  </cols>
  <sheetData>
    <row r="1" spans="1:2" x14ac:dyDescent="0.3">
      <c r="A1" s="3" t="s">
        <v>29</v>
      </c>
      <c r="B1" s="3" t="s">
        <v>90</v>
      </c>
    </row>
    <row r="2" spans="1:2" x14ac:dyDescent="0.3">
      <c r="A2" s="3">
        <v>1</v>
      </c>
      <c r="B2" s="3" t="s">
        <v>5</v>
      </c>
    </row>
    <row r="3" spans="1:2" x14ac:dyDescent="0.3">
      <c r="A3" s="3">
        <v>2</v>
      </c>
      <c r="B3" s="3" t="s">
        <v>91</v>
      </c>
    </row>
    <row r="4" spans="1:2" x14ac:dyDescent="0.3">
      <c r="A4" s="3">
        <v>3</v>
      </c>
      <c r="B4" s="3" t="s">
        <v>92</v>
      </c>
    </row>
    <row r="5" spans="1:2" x14ac:dyDescent="0.3">
      <c r="A5" s="3">
        <v>4</v>
      </c>
      <c r="B5" s="3" t="s">
        <v>93</v>
      </c>
    </row>
    <row r="6" spans="1:2" x14ac:dyDescent="0.3">
      <c r="A6" s="3"/>
      <c r="B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C834-97AB-4627-BA91-33750CFF8092}">
  <dimension ref="A1:C6"/>
  <sheetViews>
    <sheetView workbookViewId="0">
      <selection activeCell="C3" sqref="C3"/>
    </sheetView>
  </sheetViews>
  <sheetFormatPr baseColWidth="10" defaultColWidth="11.44140625" defaultRowHeight="14.4" x14ac:dyDescent="0.3"/>
  <cols>
    <col min="2" max="2" width="17" customWidth="1"/>
  </cols>
  <sheetData>
    <row r="1" spans="1:3" x14ac:dyDescent="0.3">
      <c r="A1" s="3" t="s">
        <v>31</v>
      </c>
      <c r="B1" s="3" t="s">
        <v>94</v>
      </c>
      <c r="C1" s="3" t="s">
        <v>27</v>
      </c>
    </row>
    <row r="2" spans="1:3" x14ac:dyDescent="0.3">
      <c r="A2" s="3">
        <v>1</v>
      </c>
      <c r="B2" s="3" t="s">
        <v>74</v>
      </c>
      <c r="C2" s="3">
        <v>1</v>
      </c>
    </row>
    <row r="3" spans="1:3" x14ac:dyDescent="0.3">
      <c r="A3" s="3">
        <v>2</v>
      </c>
      <c r="B3" s="3" t="s">
        <v>95</v>
      </c>
      <c r="C3" s="3">
        <v>1</v>
      </c>
    </row>
    <row r="4" spans="1:3" x14ac:dyDescent="0.3">
      <c r="A4" s="3">
        <v>3</v>
      </c>
      <c r="B4" s="3" t="s">
        <v>96</v>
      </c>
      <c r="C4" s="3">
        <v>1</v>
      </c>
    </row>
    <row r="5" spans="1:3" x14ac:dyDescent="0.3">
      <c r="A5" s="3">
        <v>4</v>
      </c>
      <c r="B5" s="3" t="s">
        <v>97</v>
      </c>
      <c r="C5" s="3">
        <v>2</v>
      </c>
    </row>
    <row r="6" spans="1:3" x14ac:dyDescent="0.3">
      <c r="A6" s="3">
        <v>5</v>
      </c>
      <c r="B6" s="3" t="s">
        <v>98</v>
      </c>
      <c r="C6" s="3">
        <v>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E0EA-88F2-49AA-88B4-4A2F97794DDD}">
  <dimension ref="A1:C3"/>
  <sheetViews>
    <sheetView workbookViewId="0">
      <selection activeCell="A4" sqref="A4"/>
    </sheetView>
  </sheetViews>
  <sheetFormatPr baseColWidth="10" defaultColWidth="11.44140625" defaultRowHeight="14.4" x14ac:dyDescent="0.3"/>
  <cols>
    <col min="2" max="2" width="15.6640625" customWidth="1"/>
  </cols>
  <sheetData>
    <row r="1" spans="1:3" x14ac:dyDescent="0.3">
      <c r="A1" s="2" t="s">
        <v>37</v>
      </c>
      <c r="B1" s="2" t="s">
        <v>99</v>
      </c>
      <c r="C1" s="2" t="s">
        <v>27</v>
      </c>
    </row>
    <row r="2" spans="1:3" x14ac:dyDescent="0.3">
      <c r="A2" s="2">
        <v>1</v>
      </c>
      <c r="B2" s="2" t="s">
        <v>100</v>
      </c>
      <c r="C2" s="2">
        <v>4</v>
      </c>
    </row>
    <row r="3" spans="1:3" x14ac:dyDescent="0.3">
      <c r="A3" s="2">
        <v>2</v>
      </c>
      <c r="B3" s="2" t="s">
        <v>101</v>
      </c>
      <c r="C3" s="2">
        <v>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3EE4-9BE4-4C17-BCA2-A4D5EE8FFA2D}">
  <sheetPr>
    <tabColor rgb="FF92D050"/>
  </sheetPr>
  <dimension ref="B2:J255"/>
  <sheetViews>
    <sheetView topLeftCell="B1" workbookViewId="0">
      <selection activeCell="J111" sqref="J111"/>
    </sheetView>
  </sheetViews>
  <sheetFormatPr baseColWidth="10" defaultColWidth="8.88671875" defaultRowHeight="14.4" x14ac:dyDescent="0.3"/>
  <cols>
    <col min="2" max="2" width="17.33203125" bestFit="1" customWidth="1"/>
    <col min="4" max="4" width="14.6640625" customWidth="1"/>
    <col min="5" max="5" width="11.33203125" customWidth="1"/>
    <col min="6" max="6" width="12.33203125" bestFit="1" customWidth="1"/>
    <col min="8" max="8" width="16.5546875" bestFit="1" customWidth="1"/>
    <col min="10" max="10" width="12.88671875" customWidth="1"/>
  </cols>
  <sheetData>
    <row r="2" spans="2:10" x14ac:dyDescent="0.3">
      <c r="B2" t="s">
        <v>102</v>
      </c>
      <c r="D2" t="s">
        <v>103</v>
      </c>
      <c r="F2" t="s">
        <v>104</v>
      </c>
      <c r="H2" t="s">
        <v>105</v>
      </c>
      <c r="J2" t="s">
        <v>106</v>
      </c>
    </row>
    <row r="4" spans="2:10" s="11" customFormat="1" x14ac:dyDescent="0.3">
      <c r="B4" s="5" t="str" cm="1">
        <f t="array" ref="B4:B5">_xlfn._xlws.FILTER(
 tb_tela[nombre_tela],
 ISNUMBER(
   MATCH(
     tb_tela[id_tela],
     _xlfn._xlws.FILTER(
       tb_tela_prenda[id_tela],
       tb_tela_prenda[id_prenda]=Cotizador!L7
     ),
     0
   )
 ), "No necesario"
)</f>
        <v>Alta calidad</v>
      </c>
      <c r="D4" s="11" t="str" cm="1">
        <f t="array" ref="D4:D9">_xlfn._xlws.FILTER(
 tb_color[color],
 ISNUMBER(
   MATCH(
     tb_color[id_color],
     _xlfn._xlws.FILTER(
       tb_tela_color[id_color],
       tb_tela_color[id_tela]=Cotizador!N7
     ),
     0
   )
 ),"No necesario"
)</f>
        <v>Amarillo</v>
      </c>
      <c r="E4" s="6"/>
      <c r="F4" s="11" t="str" cm="1">
        <f t="array" ref="F4">_xlfn._xlws.FILTER(
       tb_marca[nombre_marca],
       tb_marca[id_prenda]=Cotizador!L7, "No necesario"
     )</f>
        <v>No necesario</v>
      </c>
      <c r="H4" s="11" t="str" cm="1">
        <f t="array" ref="H4:H6">_xlfn._xlws.FILTER(tb_estilo[nombre_estilo], tb_estilo[id_prenda]=Cotizador!L7, "No necesario")</f>
        <v>Niño</v>
      </c>
      <c r="J4" s="5" t="str" cm="1">
        <f t="array" ref="J4:J9">IF(
  OR(Cotizador!L7=3,Cotizador!L7=4),
  _xlfn._xlws.FILTER(
    tb_talla[talla],
    ISNUMBER(
      MATCH(
        tb_talla[id_talla],
        _xlfn._xlws.FILTER(
          tb_talla_prenda[id_talla],
          tb_talla_prenda[id_prenda]=Cotizador!L7
        ),
        0
      )
    ),
    "No hay tallas"
  ),
  _xlfn._xlws.FILTER(
    tb_talla[talla],
    ISNUMBER(
      MATCH(
        tb_talla[id_talla],
        _xlfn._xlws.FILTER(
          tb_estilo_talla[id_talla],
          (tb_estilo_talla[id_prenda]=Cotizador!L7)*
          (tb_estilo_talla[id_estilo]=Cotizador!O7)
        ),
        0
      )
    ),
    "No hay tallas"
  )
)</f>
        <v>T14</v>
      </c>
    </row>
    <row r="5" spans="2:10" x14ac:dyDescent="0.3">
      <c r="B5" t="str">
        <v>Calidad intermedia</v>
      </c>
      <c r="D5" t="str">
        <v>Blanco</v>
      </c>
      <c r="H5" t="str">
        <v>Recto</v>
      </c>
      <c r="J5" t="str">
        <v>S</v>
      </c>
    </row>
    <row r="6" spans="2:10" x14ac:dyDescent="0.3">
      <c r="D6" t="str">
        <v>Negro</v>
      </c>
      <c r="H6" t="str">
        <v>Princesa</v>
      </c>
      <c r="J6" t="str">
        <v>M</v>
      </c>
    </row>
    <row r="7" spans="2:10" x14ac:dyDescent="0.3">
      <c r="B7" s="5" t="str" cm="1">
        <f t="array" ref="B7:B8">_xlfn._xlws.FILTER(
 tb_tela[nombre_tela],
 ISNUMBER(
   MATCH(
     tb_tela[id_tela],
     _xlfn._xlws.FILTER(
       tb_tela_prenda[id_tela],
       tb_tela_prenda[id_prenda]=Cotizador!L8
     ),
     0
   )
 ), "No necesario"
)</f>
        <v>Alta calidad</v>
      </c>
      <c r="D7" t="str">
        <v>Rojo</v>
      </c>
      <c r="F7" s="11" t="str" cm="1">
        <f t="array" ref="F7">_xlfn._xlws.FILTER(
       tb_marca[nombre_marca],
       tb_marca[id_prenda]=Cotizador!L8, "No necesario"
     )</f>
        <v>No necesario</v>
      </c>
      <c r="J7" t="str">
        <v>L</v>
      </c>
    </row>
    <row r="8" spans="2:10" x14ac:dyDescent="0.3">
      <c r="B8" t="str">
        <v>Calidad intermedia</v>
      </c>
      <c r="D8" t="str">
        <v>Rosado</v>
      </c>
      <c r="H8" s="11" t="str" cm="1">
        <f t="array" ref="H8:H10">_xlfn._xlws.FILTER(tb_estilo[nombre_estilo], tb_estilo[id_prenda]=Cotizador!L8, "No necesario")</f>
        <v>Niño</v>
      </c>
      <c r="J8" t="str">
        <v>XL</v>
      </c>
    </row>
    <row r="9" spans="2:10" x14ac:dyDescent="0.3">
      <c r="D9" t="str">
        <v>Verde</v>
      </c>
      <c r="H9" t="str">
        <v>Recto</v>
      </c>
      <c r="J9" t="str">
        <v>XXL</v>
      </c>
    </row>
    <row r="10" spans="2:10" x14ac:dyDescent="0.3">
      <c r="B10" s="5" t="str" cm="1">
        <f t="array" ref="B10:B11">_xlfn._xlws.FILTER(
 tb_tela[nombre_tela],
 ISNUMBER(
   MATCH(
     tb_tela[id_tela],
     _xlfn._xlws.FILTER(
       tb_tela_prenda[id_tela],
       tb_tela_prenda[id_prenda]=Cotizador!L9
     ),
     0
   )
 ), "No necesario"
)</f>
        <v>Alta calidad</v>
      </c>
      <c r="F10" s="11" t="str" cm="1">
        <f t="array" ref="F10">_xlfn._xlws.FILTER(
       tb_marca[nombre_marca],
       tb_marca[id_prenda]=Cotizador!L9, "No necesario"
     )</f>
        <v>No necesario</v>
      </c>
      <c r="H10" t="str">
        <v>Princesa</v>
      </c>
    </row>
    <row r="11" spans="2:10" x14ac:dyDescent="0.3">
      <c r="B11" t="str">
        <v>Calidad intermedia</v>
      </c>
    </row>
    <row r="12" spans="2:10" x14ac:dyDescent="0.3">
      <c r="H12" s="11" t="str" cm="1">
        <f t="array" ref="H12:H14">_xlfn._xlws.FILTER(tb_estilo[nombre_estilo], tb_estilo[id_prenda]=Cotizador!L9, "No necesario")</f>
        <v>Niño</v>
      </c>
    </row>
    <row r="13" spans="2:10" x14ac:dyDescent="0.3">
      <c r="B13" s="5" t="str" cm="1">
        <f t="array" ref="B13">_xlfn._xlws.FILTER(
 tb_tela[nombre_tela],
 ISNUMBER(
   MATCH(
     tb_tela[id_tela],
     _xlfn._xlws.FILTER(
       tb_tela_prenda[id_tela],
       tb_tela_prenda[id_prenda]=Cotizador!L10
     ),
     0
   )
 ), "No necesario"
)</f>
        <v>No necesario</v>
      </c>
      <c r="F13" s="11" t="str" cm="1">
        <f t="array" ref="F13">_xlfn._xlws.FILTER(
       tb_marca[nombre_marca],
       tb_marca[id_prenda]=Cotizador!L10, "No necesario"
     )</f>
        <v>No necesario</v>
      </c>
      <c r="H13" t="str">
        <v>Recto</v>
      </c>
    </row>
    <row r="14" spans="2:10" x14ac:dyDescent="0.3">
      <c r="H14" t="str">
        <v>Princesa</v>
      </c>
    </row>
    <row r="16" spans="2:10" x14ac:dyDescent="0.3">
      <c r="B16" s="5" t="str" cm="1">
        <f t="array" ref="B16">_xlfn._xlws.FILTER(
 tb_tela[nombre_tela],
 ISNUMBER(
   MATCH(
     tb_tela[id_tela],
     _xlfn._xlws.FILTER(
       tb_tela_prenda[id_tela],
       tb_tela_prenda[id_prenda]=Cotizador!L11
     ),
     0
   )
 ), "No necesario"
)</f>
        <v>No necesario</v>
      </c>
      <c r="F16" s="11" t="str" cm="1">
        <f t="array" ref="F16">_xlfn._xlws.FILTER(
       tb_marca[nombre_marca],
       tb_marca[id_prenda]=Cotizador!L11, "No necesario"
     )</f>
        <v>No necesario</v>
      </c>
      <c r="H16" s="11" t="str" cm="1">
        <f t="array" ref="H16">_xlfn._xlws.FILTER(tb_estilo[nombre_estilo], tb_estilo[id_prenda]=Cotizador!L10, "No necesario")</f>
        <v>No necesario</v>
      </c>
    </row>
    <row r="17" spans="2:10" x14ac:dyDescent="0.3">
      <c r="D17" s="11" t="str" cm="1">
        <f t="array" ref="D17:D28">_xlfn._xlws.FILTER(
 tb_color[color],
 ISNUMBER(
   MATCH(
     tb_color[id_color],
     _xlfn._xlws.FILTER(
       tb_tela_color[id_color],
       tb_tela_color[id_tela]=Cotizador!N8
     ),
     0
   )
 ),"No necesario"
)</f>
        <v>Amarillo</v>
      </c>
      <c r="J17" s="5" t="str" cm="1">
        <f t="array" ref="J17:J22">IF(
  OR(Cotizador!L8=3,Cotizador!L8=4),
  _xlfn._xlws.FILTER(
    tb_talla[talla],
    ISNUMBER(
      MATCH(
        tb_talla[id_talla],
        _xlfn._xlws.FILTER(
          tb_talla_prenda[id_talla],
          tb_talla_prenda[id_prenda]=Cotizador!L8
        ),
        0
      )
    ),
    "No hay tallas"
  ),
  _xlfn._xlws.FILTER(
    tb_talla[talla],
    ISNUMBER(
      MATCH(
        tb_talla[id_talla],
        _xlfn._xlws.FILTER(
          tb_estilo_talla[id_talla],
          (tb_estilo_talla[id_prenda]=Cotizador!L8)*
          (tb_estilo_talla[id_estilo]=Cotizador!O8)
        ),
        0
      )
    ),
    "No hay tallas"
  )
)</f>
        <v>T14</v>
      </c>
    </row>
    <row r="18" spans="2:10" x14ac:dyDescent="0.3">
      <c r="D18" t="str">
        <v>Anaranjado</v>
      </c>
      <c r="J18" t="str">
        <v>S</v>
      </c>
    </row>
    <row r="19" spans="2:10" x14ac:dyDescent="0.3">
      <c r="B19" t="str" cm="1">
        <f t="array" ref="B19">_xlfn._xlws.FILTER(
 tb_tela[nombre_tela],
 ISNUMBER(
   MATCH(
     tb_tela[id_tela],
     _xlfn._xlws.FILTER(
       tb_tela_prenda[id_tela],
       tb_tela_prenda[id_prenda]=Cotizador!L12
     ),
     0
   )
 ), "No necesario"
)</f>
        <v>No necesario</v>
      </c>
      <c r="D19" t="str">
        <v>Azul</v>
      </c>
      <c r="F19" s="11" t="str" cm="1">
        <f t="array" ref="F19">_xlfn._xlws.FILTER(
       tb_marca[nombre_marca],
       tb_marca[id_prenda]=Cotizador!L12, "No necesario"
     )</f>
        <v>No necesario</v>
      </c>
      <c r="J19" t="str">
        <v>M</v>
      </c>
    </row>
    <row r="20" spans="2:10" x14ac:dyDescent="0.3">
      <c r="D20" t="str">
        <v>Blanco</v>
      </c>
      <c r="H20" s="11" t="str" cm="1">
        <f t="array" ref="H20">_xlfn._xlws.FILTER(tb_estilo[nombre_estilo], tb_estilo[id_prenda]=Cotizador!L11, "No necesario")</f>
        <v>No necesario</v>
      </c>
      <c r="J20" t="str">
        <v>L</v>
      </c>
    </row>
    <row r="21" spans="2:10" x14ac:dyDescent="0.3">
      <c r="D21" t="str">
        <v>Celeste Bebé</v>
      </c>
      <c r="J21" t="str">
        <v>XL</v>
      </c>
    </row>
    <row r="22" spans="2:10" x14ac:dyDescent="0.3">
      <c r="B22" t="str" cm="1">
        <f t="array" ref="B22">_xlfn._xlws.FILTER(
 tb_tela[nombre_tela],
 ISNUMBER(
   MATCH(
     tb_tela[id_tela],
     _xlfn._xlws.FILTER(
       tb_tela_prenda[id_tela],
       tb_tela_prenda[id_prenda]=Cotizador!L13
     ),
     0
   )
 ), "No necesario"
)</f>
        <v>No necesario</v>
      </c>
      <c r="D22" t="str">
        <v>Fucsia</v>
      </c>
      <c r="F22" s="11" t="str" cm="1">
        <f t="array" ref="F22">_xlfn._xlws.FILTER(
       tb_marca[nombre_marca],
       tb_marca[id_prenda]=Cotizador!L13, "No necesario"
     )</f>
        <v>No necesario</v>
      </c>
      <c r="J22" t="str">
        <v>XXL</v>
      </c>
    </row>
    <row r="23" spans="2:10" x14ac:dyDescent="0.3">
      <c r="D23" t="str">
        <v>Lila</v>
      </c>
    </row>
    <row r="24" spans="2:10" x14ac:dyDescent="0.3">
      <c r="D24" t="str">
        <v>Negro</v>
      </c>
      <c r="H24" t="str" cm="1">
        <f t="array" ref="H24">_xlfn._xlws.FILTER(tb_estilo[nombre_estilo], tb_estilo[id_prenda]=Cotizador!L12, "No necesario")</f>
        <v>No necesario</v>
      </c>
    </row>
    <row r="25" spans="2:10" x14ac:dyDescent="0.3">
      <c r="B25" t="str" cm="1">
        <f t="array" ref="B25">_xlfn._xlws.FILTER(
 tb_tela[nombre_tela],
 ISNUMBER(
   MATCH(
     tb_tela[id_tela],
     _xlfn._xlws.FILTER(
       tb_tela_prenda[id_tela],
       tb_tela_prenda[id_prenda]=Cotizador!L14
     ),
     0
   )
 ), "No necesario"
)</f>
        <v>No necesario</v>
      </c>
      <c r="D25" t="str">
        <v>Rojo</v>
      </c>
      <c r="F25" s="11" t="str" cm="1">
        <f t="array" ref="F25">_xlfn._xlws.FILTER(
       tb_marca[nombre_marca],
       tb_marca[id_prenda]=Cotizador!L14, "No necesario"
     )</f>
        <v>No necesario</v>
      </c>
    </row>
    <row r="26" spans="2:10" x14ac:dyDescent="0.3">
      <c r="D26" t="str">
        <v>Rosado</v>
      </c>
    </row>
    <row r="27" spans="2:10" x14ac:dyDescent="0.3">
      <c r="D27" t="str">
        <v>Turqueza</v>
      </c>
    </row>
    <row r="28" spans="2:10" x14ac:dyDescent="0.3">
      <c r="B28" t="str" cm="1">
        <f t="array" ref="B28">_xlfn._xlws.FILTER(
 tb_tela[nombre_tela],
 ISNUMBER(
   MATCH(
     tb_tela[id_tela],
     _xlfn._xlws.FILTER(
       tb_tela_prenda[id_tela],
       tb_tela_prenda[id_prenda]=Cotizador!L15
     ),
     0
   )
 ), "No necesario"
)</f>
        <v>No necesario</v>
      </c>
      <c r="D28" t="str">
        <v>Verde</v>
      </c>
      <c r="F28" s="11" t="str" cm="1">
        <f t="array" ref="F28">_xlfn._xlws.FILTER(
       tb_marca[nombre_marca],
       tb_marca[id_prenda]=Cotizador!L15, "No necesario"
     )</f>
        <v>No necesario</v>
      </c>
      <c r="H28" t="str" cm="1">
        <f t="array" ref="H28">_xlfn._xlws.FILTER(tb_estilo[nombre_estilo], tb_estilo[id_prenda]=Cotizador!L13, "No necesario")</f>
        <v>No necesario</v>
      </c>
    </row>
    <row r="30" spans="2:10" x14ac:dyDescent="0.3">
      <c r="J30" s="5" t="str" cm="1">
        <f t="array" ref="J30:J35">IF(
  OR(Cotizador!L9=3,Cotizador!L9=4),
  _xlfn._xlws.FILTER(
    tb_talla[talla],
    ISNUMBER(
      MATCH(
        tb_talla[id_talla],
        _xlfn._xlws.FILTER(
          tb_talla_prenda[id_talla],
          tb_talla_prenda[id_prenda]=Cotizador!L9
        ),
        0
      )
    ),
    "No hay tallas"
  ),
  _xlfn._xlws.FILTER(
    tb_talla[talla],
    ISNUMBER(
      MATCH(
        tb_talla[id_talla],
        _xlfn._xlws.FILTER(
          tb_estilo_talla[id_talla],
          (tb_estilo_talla[id_prenda]=Cotizador!L9)*
          (tb_estilo_talla[id_estilo]=Cotizador!O9)
        ),
        0
      )
    ),
    "No hay tallas"
  )
)</f>
        <v>T14</v>
      </c>
    </row>
    <row r="31" spans="2:10" x14ac:dyDescent="0.3">
      <c r="B31" t="str" cm="1">
        <f t="array" ref="B31">_xlfn._xlws.FILTER(
 tb_tela[nombre_tela],
 ISNUMBER(
   MATCH(
     tb_tela[id_tela],
     _xlfn._xlws.FILTER(
       tb_tela_prenda[id_tela],
       tb_tela_prenda[id_prenda]=Cotizador!L16
     ),
     0
   )
 ), "No necesario"
)</f>
        <v>No necesario</v>
      </c>
      <c r="D31" s="11" t="str" cm="1">
        <f t="array" ref="D31:D42">_xlfn._xlws.FILTER(
 tb_color[color],
 ISNUMBER(
   MATCH(
     tb_color[id_color],
     _xlfn._xlws.FILTER(
       tb_tela_color[id_color],
       tb_tela_color[id_tela]=Cotizador!N9
     ),
     0
   )
 ),"No necesario"
)</f>
        <v>Amarillo</v>
      </c>
      <c r="F31" s="11" t="str" cm="1">
        <f t="array" ref="F31">_xlfn._xlws.FILTER(
       tb_marca[nombre_marca],
       tb_marca[id_prenda]=Cotizador!L16, "No necesario"
     )</f>
        <v>No necesario</v>
      </c>
      <c r="J31" t="str">
        <v>S</v>
      </c>
    </row>
    <row r="32" spans="2:10" x14ac:dyDescent="0.3">
      <c r="D32" t="str">
        <v>Anaranjado</v>
      </c>
      <c r="H32" t="str" cm="1">
        <f t="array" ref="H32">_xlfn._xlws.FILTER(tb_estilo[nombre_estilo], tb_estilo[id_prenda]=Cotizador!L14, "No necesario")</f>
        <v>No necesario</v>
      </c>
      <c r="J32" t="str">
        <v>M</v>
      </c>
    </row>
    <row r="33" spans="2:10" x14ac:dyDescent="0.3">
      <c r="D33" t="str">
        <v>Azul</v>
      </c>
      <c r="J33" t="str">
        <v>L</v>
      </c>
    </row>
    <row r="34" spans="2:10" x14ac:dyDescent="0.3">
      <c r="B34" t="str" cm="1">
        <f t="array" ref="B34">_xlfn._xlws.FILTER(
 tb_tela[nombre_tela],
 ISNUMBER(
   MATCH(
     tb_tela[id_tela],
     _xlfn._xlws.FILTER(
       tb_tela_prenda[id_tela],
       tb_tela_prenda[id_prenda]=Cotizador!L17
     ),
     0
   )
 ), "No necesario"
)</f>
        <v>No necesario</v>
      </c>
      <c r="D34" t="str">
        <v>Blanco</v>
      </c>
      <c r="F34" s="11" t="str" cm="1">
        <f t="array" ref="F34">_xlfn._xlws.FILTER(
       tb_marca[nombre_marca],
       tb_marca[id_prenda]=Cotizador!L17, "No necesario"
     )</f>
        <v>No necesario</v>
      </c>
      <c r="J34" t="str">
        <v>XL</v>
      </c>
    </row>
    <row r="35" spans="2:10" x14ac:dyDescent="0.3">
      <c r="D35" t="str">
        <v>Celeste Bebé</v>
      </c>
      <c r="J35" t="str">
        <v>XXL</v>
      </c>
    </row>
    <row r="36" spans="2:10" x14ac:dyDescent="0.3">
      <c r="D36" t="str">
        <v>Fucsia</v>
      </c>
      <c r="H36" t="str" cm="1">
        <f t="array" ref="H36">_xlfn._xlws.FILTER(tb_estilo[nombre_estilo], tb_estilo[id_prenda]=Cotizador!L15, "No necesario")</f>
        <v>No necesario</v>
      </c>
    </row>
    <row r="37" spans="2:10" x14ac:dyDescent="0.3">
      <c r="B37" t="str" cm="1">
        <f t="array" ref="B37">_xlfn._xlws.FILTER(
 tb_tela[nombre_tela],
 ISNUMBER(
   MATCH(
     tb_tela[id_tela],
     _xlfn._xlws.FILTER(
       tb_tela_prenda[id_tela],
       tb_tela_prenda[id_prenda]=Cotizador!L18
     ),
     0
   )
 ), "No necesario"
)</f>
        <v>No necesario</v>
      </c>
      <c r="D37" t="str">
        <v>Lila</v>
      </c>
      <c r="F37" s="11" t="str" cm="1">
        <f t="array" ref="F37">_xlfn._xlws.FILTER(
       tb_marca[nombre_marca],
       tb_marca[id_prenda]=Cotizador!L18, "No necesario"
     )</f>
        <v>No necesario</v>
      </c>
    </row>
    <row r="38" spans="2:10" x14ac:dyDescent="0.3">
      <c r="D38" t="str">
        <v>Negro</v>
      </c>
    </row>
    <row r="39" spans="2:10" x14ac:dyDescent="0.3">
      <c r="D39" t="str">
        <v>Rojo</v>
      </c>
    </row>
    <row r="40" spans="2:10" x14ac:dyDescent="0.3">
      <c r="B40" t="str" cm="1">
        <f t="array" ref="B40">_xlfn._xlws.FILTER(
 tb_tela[nombre_tela],
 ISNUMBER(
   MATCH(
     tb_tela[id_tela],
     _xlfn._xlws.FILTER(
       tb_tela_prenda[id_tela],
       tb_tela_prenda[id_prenda]=Cotizador!L19
     ),
     0
   )
 ), "No necesario"
)</f>
        <v>No necesario</v>
      </c>
      <c r="D40" t="str">
        <v>Rosado</v>
      </c>
      <c r="F40" s="11" t="str" cm="1">
        <f t="array" ref="F40">_xlfn._xlws.FILTER(
       tb_marca[nombre_marca],
       tb_marca[id_prenda]=Cotizador!L19, "No necesario"
     )</f>
        <v>No necesario</v>
      </c>
      <c r="H40" t="str" cm="1">
        <f t="array" ref="H40">_xlfn._xlws.FILTER(tb_estilo[nombre_estilo], tb_estilo[id_prenda]=Cotizador!L16, "No necesario")</f>
        <v>No necesario</v>
      </c>
    </row>
    <row r="41" spans="2:10" x14ac:dyDescent="0.3">
      <c r="D41" t="str">
        <v>Turqueza</v>
      </c>
    </row>
    <row r="42" spans="2:10" x14ac:dyDescent="0.3">
      <c r="D42" t="str">
        <v>Verde</v>
      </c>
    </row>
    <row r="43" spans="2:10" x14ac:dyDescent="0.3">
      <c r="B43" t="str" cm="1">
        <f t="array" ref="B43">_xlfn._xlws.FILTER(
 tb_tela[nombre_tela],
 ISNUMBER(
   MATCH(
     tb_tela[id_tela],
     _xlfn._xlws.FILTER(
       tb_tela_prenda[id_tela],
       tb_tela_prenda[id_prenda]=Cotizador!L20
     ),
     0
   )
 ), "No necesario"
)</f>
        <v>No necesario</v>
      </c>
      <c r="F43" s="11" t="str" cm="1">
        <f t="array" ref="F43">_xlfn._xlws.FILTER(
       tb_marca[nombre_marca],
       tb_marca[id_prenda]=Cotizador!L20, "No necesario"
     )</f>
        <v>No necesario</v>
      </c>
      <c r="J43" s="5" t="str" cm="1">
        <f t="array" ref="J43">IF(
  OR(Cotizador!L10=3,Cotizador!L10=4),
  _xlfn._xlws.FILTER(
    tb_talla[talla],
    ISNUMBER(
      MATCH(
        tb_talla[id_talla],
        _xlfn._xlws.FILTER(
          tb_talla_prenda[id_talla],
          tb_talla_prenda[id_prenda]=Cotizador!L10
        ),
        0
      )
    ),
    "No hay tallas"
  ),
  _xlfn._xlws.FILTER(
    tb_talla[talla],
    ISNUMBER(
      MATCH(
        tb_talla[id_talla],
        _xlfn._xlws.FILTER(
          tb_estilo_talla[id_talla],
          (tb_estilo_talla[id_prenda]=Cotizador!L10)*
          (tb_estilo_talla[id_estilo]=Cotizador!O10)
        ),
        0
      )
    ),
    "No hay tallas"
  )
)</f>
        <v>No hay tallas</v>
      </c>
    </row>
    <row r="44" spans="2:10" x14ac:dyDescent="0.3">
      <c r="H44" t="str" cm="1">
        <f t="array" ref="H44">_xlfn._xlws.FILTER(tb_estilo[nombre_estilo], tb_estilo[id_prenda]=Cotizador!L17, "No necesario")</f>
        <v>No necesario</v>
      </c>
    </row>
    <row r="45" spans="2:10" x14ac:dyDescent="0.3">
      <c r="D45" s="11" t="str" cm="1">
        <f t="array" ref="D45">_xlfn._xlws.FILTER(
 tb_color[color],
 ISNUMBER(
   MATCH(
     tb_color[id_color],
     _xlfn._xlws.FILTER(
       tb_tela_color[id_color],
       tb_tela_color[id_tela]=Cotizador!N10
     ),
     0
   )
 ),"No necesario"
)</f>
        <v>No necesario</v>
      </c>
    </row>
    <row r="46" spans="2:10" x14ac:dyDescent="0.3">
      <c r="B46" t="str" cm="1">
        <f t="array" ref="B46">_xlfn._xlws.FILTER(
 tb_tela[nombre_tela],
 ISNUMBER(
   MATCH(
     tb_tela[id_tela],
     _xlfn._xlws.FILTER(
       tb_tela_prenda[id_tela],
       tb_tela_prenda[id_prenda]=Cotizador!L21
     ),
     0
   )
 ), "No necesario"
)</f>
        <v>No necesario</v>
      </c>
      <c r="F46" s="11" t="str" cm="1">
        <f t="array" ref="F46">_xlfn._xlws.FILTER(
       tb_marca[nombre_marca],
       tb_marca[id_prenda]=Cotizador!L21, "No necesario"
     )</f>
        <v>No necesario</v>
      </c>
    </row>
    <row r="48" spans="2:10" x14ac:dyDescent="0.3">
      <c r="H48" t="str" cm="1">
        <f t="array" ref="H48">_xlfn._xlws.FILTER(tb_estilo[nombre_estilo], tb_estilo[id_prenda]=Cotizador!L18, "No necesario")</f>
        <v>No necesario</v>
      </c>
    </row>
    <row r="49" spans="2:10" x14ac:dyDescent="0.3">
      <c r="B49" t="str" cm="1">
        <f t="array" ref="B49">_xlfn._xlws.FILTER(
 tb_tela[nombre_tela],
 ISNUMBER(
   MATCH(
     tb_tela[id_tela],
     _xlfn._xlws.FILTER(
       tb_tela_prenda[id_tela],
       tb_tela_prenda[id_prenda]=Cotizador!L22
     ),
     0
   )
 ), "No necesario"
)</f>
        <v>No necesario</v>
      </c>
      <c r="F49" s="11" t="str" cm="1">
        <f t="array" ref="F49">_xlfn._xlws.FILTER(
       tb_marca[nombre_marca],
       tb_marca[id_prenda]=Cotizador!L22, "No necesario"
     )</f>
        <v>No necesario</v>
      </c>
    </row>
    <row r="52" spans="2:10" x14ac:dyDescent="0.3">
      <c r="B52" t="str" cm="1">
        <f t="array" ref="B52">_xlfn._xlws.FILTER(
 tb_tela[nombre_tela],
 ISNUMBER(
   MATCH(
     tb_tela[id_tela],
     _xlfn._xlws.FILTER(
       tb_tela_prenda[id_tela],
       tb_tela_prenda[id_prenda]=Cotizador!L23
     ),
     0
   )
 ), "No necesario"
)</f>
        <v>No necesario</v>
      </c>
      <c r="F52" s="11" t="str" cm="1">
        <f t="array" ref="F52">_xlfn._xlws.FILTER(
       tb_marca[nombre_marca],
       tb_marca[id_prenda]=Cotizador!L23, "No necesario"
     )</f>
        <v>No necesario</v>
      </c>
      <c r="H52" t="str" cm="1">
        <f t="array" ref="H52">_xlfn._xlws.FILTER(tb_estilo[nombre_estilo], tb_estilo[id_prenda]=Cotizador!L19, "No necesario")</f>
        <v>No necesario</v>
      </c>
    </row>
    <row r="55" spans="2:10" x14ac:dyDescent="0.3">
      <c r="B55" t="str" cm="1">
        <f t="array" ref="B55">_xlfn._xlws.FILTER(
 tb_tela[nombre_tela],
 ISNUMBER(
   MATCH(
     tb_tela[id_tela],
     _xlfn._xlws.FILTER(
       tb_tela_prenda[id_tela],
       tb_tela_prenda[id_prenda]=Cotizador!L24
     ),
     0
   )
 ), "No necesario"
)</f>
        <v>No necesario</v>
      </c>
      <c r="F55" s="11" t="str" cm="1">
        <f t="array" ref="F55">_xlfn._xlws.FILTER(
       tb_marca[nombre_marca],
       tb_marca[id_prenda]=Cotizador!L24, "No necesario"
     )</f>
        <v>No necesario</v>
      </c>
    </row>
    <row r="56" spans="2:10" x14ac:dyDescent="0.3">
      <c r="H56" t="str" cm="1">
        <f t="array" ref="H56">_xlfn._xlws.FILTER(tb_estilo[nombre_estilo], tb_estilo[id_prenda]=Cotizador!L20, "No necesario")</f>
        <v>No necesario</v>
      </c>
      <c r="J56" s="5" t="str" cm="1">
        <f t="array" ref="J56">IF(
  OR(Cotizador!L11=3,Cotizador!L11=4),
  _xlfn._xlws.FILTER(
    tb_talla[talla],
    ISNUMBER(
      MATCH(
        tb_talla[id_talla],
        _xlfn._xlws.FILTER(
          tb_talla_prenda[id_talla],
          tb_talla_prenda[id_prenda]=Cotizador!L11
        ),
        0
      )
    ),
    "No hay tallas"
  ),
  _xlfn._xlws.FILTER(
    tb_talla[talla],
    ISNUMBER(
      MATCH(
        tb_talla[id_talla],
        _xlfn._xlws.FILTER(
          tb_estilo_talla[id_talla],
          (tb_estilo_talla[id_prenda]=Cotizador!L11)*
          (tb_estilo_talla[id_estilo]=Cotizador!O11)
        ),
        0
      )
    ),
    "No hay tallas"
  )
)</f>
        <v>No hay tallas</v>
      </c>
    </row>
    <row r="58" spans="2:10" x14ac:dyDescent="0.3">
      <c r="B58" t="str" cm="1">
        <f t="array" ref="B58">_xlfn._xlws.FILTER(
 tb_tela[nombre_tela],
 ISNUMBER(
   MATCH(
     tb_tela[id_tela],
     _xlfn._xlws.FILTER(
       tb_tela_prenda[id_tela],
       tb_tela_prenda[id_prenda]=Cotizador!L25
     ),
     0
   )
 ), "No necesario"
)</f>
        <v>No necesario</v>
      </c>
      <c r="F58" s="11" t="str" cm="1">
        <f t="array" ref="F58">_xlfn._xlws.FILTER(
       tb_marca[nombre_marca],
       tb_marca[id_prenda]=Cotizador!L25, "No necesario"
     )</f>
        <v>No necesario</v>
      </c>
    </row>
    <row r="59" spans="2:10" x14ac:dyDescent="0.3">
      <c r="D59" s="11" t="str" cm="1">
        <f t="array" ref="D59">_xlfn._xlws.FILTER(
 tb_color[color],
 ISNUMBER(
   MATCH(
     tb_color[id_color],
     _xlfn._xlws.FILTER(
       tb_tela_color[id_color],
       tb_tela_color[id_tela]=Cotizador!N11
     ),
     0
   )
 ),"No necesario"
)</f>
        <v>No necesario</v>
      </c>
    </row>
    <row r="60" spans="2:10" x14ac:dyDescent="0.3">
      <c r="H60" t="str" cm="1">
        <f t="array" ref="H60">_xlfn._xlws.FILTER(tb_estilo[nombre_estilo], tb_estilo[id_prenda]=Cotizador!L21, "No necesario")</f>
        <v>No necesario</v>
      </c>
    </row>
    <row r="61" spans="2:10" x14ac:dyDescent="0.3">
      <c r="B61" t="str" cm="1">
        <f t="array" ref="B61">_xlfn._xlws.FILTER(
 tb_tela[nombre_tela],
 ISNUMBER(
   MATCH(
     tb_tela[id_tela],
     _xlfn._xlws.FILTER(
       tb_tela_prenda[id_tela],
       tb_tela_prenda[id_prenda]=Cotizador!L26
     ),
     0
   )
 ), "No necesario"
)</f>
        <v>No necesario</v>
      </c>
      <c r="F61" s="11" t="str" cm="1">
        <f t="array" ref="F61">_xlfn._xlws.FILTER(
       tb_marca[nombre_marca],
       tb_marca[id_prenda]=Cotizador!L26, "No necesario"
     )</f>
        <v>No necesario</v>
      </c>
    </row>
    <row r="64" spans="2:10" x14ac:dyDescent="0.3">
      <c r="H64" t="str" cm="1">
        <f t="array" ref="H64">_xlfn._xlws.FILTER(tb_estilo[nombre_estilo], tb_estilo[id_prenda]=Cotizador!L22, "No necesario")</f>
        <v>No necesario</v>
      </c>
    </row>
    <row r="68" spans="4:10" x14ac:dyDescent="0.3">
      <c r="H68" t="str" cm="1">
        <f t="array" ref="H68">_xlfn._xlws.FILTER(tb_estilo[nombre_estilo], tb_estilo[id_prenda]=Cotizador!L23, "No necesario")</f>
        <v>No necesario</v>
      </c>
    </row>
    <row r="69" spans="4:10" x14ac:dyDescent="0.3">
      <c r="J69" t="str" cm="1">
        <f t="array" ref="J69">IF(
  OR(Cotizador!L12=3,Cotizador!L12=4),
  _xlfn._xlws.FILTER(
    tb_talla[talla],
    ISNUMBER(
      MATCH(
        tb_talla[id_talla],
        _xlfn._xlws.FILTER(
          tb_talla_prenda[id_talla],
          tb_talla_prenda[id_prenda]=Cotizador!L12
        ),
        0
      )
    ),
    "No hay tallas"
  ),
  _xlfn._xlws.FILTER(
    tb_talla[talla],
    ISNUMBER(
      MATCH(
        tb_talla[id_talla],
        _xlfn._xlws.FILTER(
          tb_estilo_talla[id_talla],
          (tb_estilo_talla[id_prenda]=Cotizador!L12)*
          (tb_estilo_talla[id_estilo]=Cotizador!O12)
        ),
        0
      )
    ),
    "No hay tallas"
  )
)</f>
        <v>No hay tallas</v>
      </c>
    </row>
    <row r="72" spans="4:10" x14ac:dyDescent="0.3">
      <c r="D72" t="str" cm="1">
        <f t="array" ref="D72">_xlfn._xlws.FILTER(
 tb_color[color],
 ISNUMBER(
   MATCH(
     tb_color[id_color],
     _xlfn._xlws.FILTER(
       tb_tela_color[id_color],
       tb_tela_color[id_tela]=Cotizador!N12
     ),
     0
   )
 ),"No necesario"
)</f>
        <v>No necesario</v>
      </c>
      <c r="H72" t="str" cm="1">
        <f t="array" ref="H72">_xlfn._xlws.FILTER(tb_estilo[nombre_estilo], tb_estilo[id_prenda]=Cotizador!L24, "No necesario")</f>
        <v>No necesario</v>
      </c>
    </row>
    <row r="76" spans="4:10" x14ac:dyDescent="0.3">
      <c r="H76" t="str" cm="1">
        <f t="array" ref="H76">_xlfn._xlws.FILTER(tb_estilo[nombre_estilo], tb_estilo[id_prenda]=Cotizador!L25, "No necesario")</f>
        <v>No necesario</v>
      </c>
    </row>
    <row r="80" spans="4:10" x14ac:dyDescent="0.3">
      <c r="H80" t="str" cm="1">
        <f t="array" ref="H80">_xlfn._xlws.FILTER(tb_estilo[nombre_estilo], tb_estilo[id_prenda]=Cotizador!L26, "No necesario")</f>
        <v>No necesario</v>
      </c>
    </row>
    <row r="85" spans="4:10" x14ac:dyDescent="0.3">
      <c r="D85" t="str" cm="1">
        <f t="array" ref="D85">_xlfn._xlws.FILTER(
 tb_color[color],
 ISNUMBER(
   MATCH(
     tb_color[id_color],
     _xlfn._xlws.FILTER(
       tb_tela_color[id_color],
       tb_tela_color[id_tela]=Cotizador!N13
     ),
     0
   )
 ),"No necesario"
)</f>
        <v>No necesario</v>
      </c>
      <c r="J85" t="str" cm="1">
        <f t="array" ref="J85">IF(
  OR(Cotizador!L13=3,Cotizador!L13=4),
  _xlfn._xlws.FILTER(
    tb_talla[talla],
    ISNUMBER(
      MATCH(
        tb_talla[id_talla],
        _xlfn._xlws.FILTER(
          tb_talla_prenda[id_talla],
          tb_talla_prenda[id_prenda]=Cotizador!L13
        ),
        0
      )
    ),
    "No hay tallas"
  ),
  _xlfn._xlws.FILTER(
    tb_talla[talla],
    ISNUMBER(
      MATCH(
        tb_talla[id_talla],
        _xlfn._xlws.FILTER(
          tb_estilo_talla[id_talla],
          (tb_estilo_talla[id_prenda]=Cotizador!L13)*
          (tb_estilo_talla[id_estilo]=Cotizador!O13)
        ),
        0
      )
    ),
    "No hay tallas"
  )
)</f>
        <v>No hay tallas</v>
      </c>
    </row>
    <row r="98" spans="4:10" x14ac:dyDescent="0.3">
      <c r="D98" t="str" cm="1">
        <f t="array" ref="D98">_xlfn._xlws.FILTER(
 tb_color[color],
 ISNUMBER(
   MATCH(
     tb_color[id_color],
     _xlfn._xlws.FILTER(
       tb_tela_color[id_color],
       tb_tela_color[id_tela]=Cotizador!N14
     ),
     0
   )
 ),"No necesario"
)</f>
        <v>No necesario</v>
      </c>
      <c r="J98" t="str" cm="1">
        <f t="array" ref="J98">IF(
  OR(Cotizador!L14=3,Cotizador!L14=4),
  _xlfn._xlws.FILTER(
    tb_talla[talla],
    ISNUMBER(
      MATCH(
        tb_talla[id_talla],
        _xlfn._xlws.FILTER(
          tb_talla_prenda[id_talla],
          tb_talla_prenda[id_prenda]=Cotizador!L14
        ),
        0
      )
    ),
    "No hay tallas"
  ),
  _xlfn._xlws.FILTER(
    tb_talla[talla],
    ISNUMBER(
      MATCH(
        tb_talla[id_talla],
        _xlfn._xlws.FILTER(
          tb_estilo_talla[id_talla],
          (tb_estilo_talla[id_prenda]=Cotizador!L14)*
          (tb_estilo_talla[id_estilo]=Cotizador!O14)
        ),
        0
      )
    ),
    "No hay tallas"
  )
)</f>
        <v>No hay tallas</v>
      </c>
    </row>
    <row r="111" spans="4:10" x14ac:dyDescent="0.3">
      <c r="J111" t="str" cm="1">
        <f t="array" ref="J111">IF(
  OR(Cotizador!L15=3,Cotizador!L15=4),
  _xlfn._xlws.FILTER(
    tb_talla[talla],
    ISNUMBER(
      MATCH(
        tb_talla[id_talla],
        _xlfn._xlws.FILTER(
          tb_talla_prenda[id_talla],
          tb_talla_prenda[id_prenda]=Cotizador!L15
        ),
        0
      )
    ),
    "No hay tallas"
  ),
  _xlfn._xlws.FILTER(
    tb_talla[talla],
    ISNUMBER(
      MATCH(
        tb_talla[id_talla],
        _xlfn._xlws.FILTER(
          tb_estilo_talla[id_talla],
          (tb_estilo_talla[id_prenda]=Cotizador!L15)*
          (tb_estilo_talla[id_estilo]=Cotizador!O15)
        ),
        0
      )
    ),
    "No hay tallas"
  )
)</f>
        <v>No hay tallas</v>
      </c>
    </row>
    <row r="112" spans="4:10" x14ac:dyDescent="0.3">
      <c r="D112" t="str" cm="1">
        <f t="array" ref="D112">_xlfn._xlws.FILTER(
 tb_color[color],
 ISNUMBER(
   MATCH(
     tb_color[id_color],
     _xlfn._xlws.FILTER(
       tb_tela_color[id_color],
       tb_tela_color[id_tela]=Cotizador!N15
     ),
     0
   )
 ),"No necesario"
)</f>
        <v>No necesario</v>
      </c>
    </row>
    <row r="125" spans="4:10" x14ac:dyDescent="0.3">
      <c r="D125" t="str" cm="1">
        <f t="array" ref="D125">_xlfn._xlws.FILTER(
 tb_color[color],
 ISNUMBER(
   MATCH(
     tb_color[id_color],
     _xlfn._xlws.FILTER(
       tb_tela_color[id_color],
       tb_tela_color[id_tela]=Cotizador!N16
     ),
     0
   )
 ),"No necesario"
)</f>
        <v>No necesario</v>
      </c>
      <c r="J125" t="str" cm="1">
        <f t="array" ref="J125">IF(
  OR(Cotizador!L16=3,Cotizador!L16=4),
  _xlfn._xlws.FILTER(
    tb_talla[talla],
    ISNUMBER(
      MATCH(
        tb_talla[id_talla],
        _xlfn._xlws.FILTER(
          tb_talla_prenda[id_talla],
          tb_talla_prenda[id_prenda]=Cotizador!L16
        ),
        0
      )
    ),
    "No hay tallas"
  ),
  _xlfn._xlws.FILTER(
    tb_talla[talla],
    ISNUMBER(
      MATCH(
        tb_talla[id_talla],
        _xlfn._xlws.FILTER(
          tb_estilo_talla[id_talla],
          (tb_estilo_talla[id_prenda]=Cotizador!L16)*
          (tb_estilo_talla[id_estilo]=Cotizador!O16)
        ),
        0
      )
    ),
    "No hay tallas"
  )
)</f>
        <v>No hay tallas</v>
      </c>
    </row>
    <row r="138" spans="4:10" x14ac:dyDescent="0.3">
      <c r="D138" t="str" cm="1">
        <f t="array" ref="D138">_xlfn._xlws.FILTER(
 tb_color[color],
 ISNUMBER(
   MATCH(
     tb_color[id_color],
     _xlfn._xlws.FILTER(
       tb_tela_color[id_color],
       tb_tela_color[id_tela]=Cotizador!N17
     ),
     0
   )
 ),"No necesario"
)</f>
        <v>No necesario</v>
      </c>
      <c r="J138" t="str" cm="1">
        <f t="array" ref="J138">IF(
  OR(Cotizador!L17=3,Cotizador!L17=4),
  _xlfn._xlws.FILTER(
    tb_talla[talla],
    ISNUMBER(
      MATCH(
        tb_talla[id_talla],
        _xlfn._xlws.FILTER(
          tb_talla_prenda[id_talla],
          tb_talla_prenda[id_prenda]=Cotizador!L17
        ),
        0
      )
    ),
    "No hay tallas"
  ),
  _xlfn._xlws.FILTER(
    tb_talla[talla],
    ISNUMBER(
      MATCH(
        tb_talla[id_talla],
        _xlfn._xlws.FILTER(
          tb_estilo_talla[id_talla],
          (tb_estilo_talla[id_prenda]=Cotizador!L17)*
          (tb_estilo_talla[id_estilo]=Cotizador!O17)
        ),
        0
      )
    ),
    "No hay tallas"
  )
)</f>
        <v>No hay tallas</v>
      </c>
    </row>
    <row r="151" spans="4:10" x14ac:dyDescent="0.3">
      <c r="D151" t="str" cm="1">
        <f t="array" ref="D151">_xlfn._xlws.FILTER(
 tb_color[color],
 ISNUMBER(
   MATCH(
     tb_color[id_color],
     _xlfn._xlws.FILTER(
       tb_tela_color[id_color],
       tb_tela_color[id_tela]=Cotizador!N18
     ),
     0
   )
 ),"No necesario"
)</f>
        <v>No necesario</v>
      </c>
      <c r="J151" t="str" cm="1">
        <f t="array" ref="J151">IF(
  OR(Cotizador!L18=3,Cotizador!L18=4),
  _xlfn._xlws.FILTER(
    tb_talla[talla],
    ISNUMBER(
      MATCH(
        tb_talla[id_talla],
        _xlfn._xlws.FILTER(
          tb_talla_prenda[id_talla],
          tb_talla_prenda[id_prenda]=Cotizador!L18
        ),
        0
      )
    ),
    "No hay tallas"
  ),
  _xlfn._xlws.FILTER(
    tb_talla[talla],
    ISNUMBER(
      MATCH(
        tb_talla[id_talla],
        _xlfn._xlws.FILTER(
          tb_estilo_talla[id_talla],
          (tb_estilo_talla[id_prenda]=Cotizador!L18)*
          (tb_estilo_talla[id_estilo]=Cotizador!O18)
        ),
        0
      )
    ),
    "No hay tallas"
  )
)</f>
        <v>No hay tallas</v>
      </c>
    </row>
    <row r="164" spans="4:10" x14ac:dyDescent="0.3">
      <c r="D164" t="str" cm="1">
        <f t="array" ref="D164">_xlfn._xlws.FILTER(
 tb_color[color],
 ISNUMBER(
   MATCH(
     tb_color[id_color],
     _xlfn._xlws.FILTER(
       tb_tela_color[id_color],
       tb_tela_color[id_tela]=Cotizador!N19
     ),
     0
   )
 ),"No necesario"
)</f>
        <v>No necesario</v>
      </c>
      <c r="J164" t="str" cm="1">
        <f t="array" ref="J164">IF(
  OR(Cotizador!L19=3,Cotizador!L19=4),
  _xlfn._xlws.FILTER(
    tb_talla[talla],
    ISNUMBER(
      MATCH(
        tb_talla[id_talla],
        _xlfn._xlws.FILTER(
          tb_talla_prenda[id_talla],
          tb_talla_prenda[id_prenda]=Cotizador!L19
        ),
        0
      )
    ),
    "No hay tallas"
  ),
  _xlfn._xlws.FILTER(
    tb_talla[talla],
    ISNUMBER(
      MATCH(
        tb_talla[id_talla],
        _xlfn._xlws.FILTER(
          tb_estilo_talla[id_talla],
          (tb_estilo_talla[id_prenda]=Cotizador!L19)*
          (tb_estilo_talla[id_estilo]=Cotizador!O19)
        ),
        0
      )
    ),
    "No hay tallas"
  )
)</f>
        <v>No hay tallas</v>
      </c>
    </row>
    <row r="177" spans="4:10" x14ac:dyDescent="0.3">
      <c r="D177" t="str" cm="1">
        <f t="array" ref="D177">_xlfn._xlws.FILTER(
 tb_color[color],
 ISNUMBER(
   MATCH(
     tb_color[id_color],
     _xlfn._xlws.FILTER(
       tb_tela_color[id_color],
       tb_tela_color[id_tela]=Cotizador!N20
     ),
     0
   )
 ),"No necesario"
)</f>
        <v>No necesario</v>
      </c>
      <c r="J177" t="str" cm="1">
        <f t="array" ref="J177">IF(
  OR(Cotizador!L20=3,Cotizador!L20=4),
  _xlfn._xlws.FILTER(
    tb_talla[talla],
    ISNUMBER(
      MATCH(
        tb_talla[id_talla],
        _xlfn._xlws.FILTER(
          tb_talla_prenda[id_talla],
          tb_talla_prenda[id_prenda]=Cotizador!L20
        ),
        0
      )
    ),
    "No hay tallas"
  ),
  _xlfn._xlws.FILTER(
    tb_talla[talla],
    ISNUMBER(
      MATCH(
        tb_talla[id_talla],
        _xlfn._xlws.FILTER(
          tb_estilo_talla[id_talla],
          (tb_estilo_talla[id_prenda]=Cotizador!L20)*
          (tb_estilo_talla[id_estilo]=Cotizador!O20)
        ),
        0
      )
    ),
    "No hay tallas"
  )
)</f>
        <v>No hay tallas</v>
      </c>
    </row>
    <row r="190" spans="4:10" x14ac:dyDescent="0.3">
      <c r="D190" t="str" cm="1">
        <f t="array" ref="D190">_xlfn._xlws.FILTER(
 tb_color[color],
 ISNUMBER(
   MATCH(
     tb_color[id_color],
     _xlfn._xlws.FILTER(
       tb_tela_color[id_color],
       tb_tela_color[id_tela]=Cotizador!N21
     ),
     0
   )
 ),"No necesario"
)</f>
        <v>No necesario</v>
      </c>
      <c r="J190" t="str" cm="1">
        <f t="array" ref="J190">IF(
  OR(Cotizador!L21=3,Cotizador!L21=4),
  _xlfn._xlws.FILTER(
    tb_talla[talla],
    ISNUMBER(
      MATCH(
        tb_talla[id_talla],
        _xlfn._xlws.FILTER(
          tb_talla_prenda[id_talla],
          tb_talla_prenda[id_prenda]=Cotizador!L21
        ),
        0
      )
    ),
    "No hay tallas"
  ),
  _xlfn._xlws.FILTER(
    tb_talla[talla],
    ISNUMBER(
      MATCH(
        tb_talla[id_talla],
        _xlfn._xlws.FILTER(
          tb_estilo_talla[id_talla],
          (tb_estilo_talla[id_prenda]=Cotizador!L21)*
          (tb_estilo_talla[id_estilo]=Cotizador!O21)
        ),
        0
      )
    ),
    "No hay tallas"
  )
)</f>
        <v>No hay tallas</v>
      </c>
    </row>
    <row r="203" spans="4:10" x14ac:dyDescent="0.3">
      <c r="D203" t="str" cm="1">
        <f t="array" ref="D203">_xlfn._xlws.FILTER(
 tb_color[color],
 ISNUMBER(
   MATCH(
     tb_color[id_color],
     _xlfn._xlws.FILTER(
       tb_tela_color[id_color],
       tb_tela_color[id_tela]=Cotizador!N22
     ),
     0
   )
 ),"No necesario"
)</f>
        <v>No necesario</v>
      </c>
      <c r="J203" t="str" cm="1">
        <f t="array" ref="J203">IF(
  OR(Cotizador!L22=3,Cotizador!L22=4),
  _xlfn._xlws.FILTER(
    tb_talla[talla],
    ISNUMBER(
      MATCH(
        tb_talla[id_talla],
        _xlfn._xlws.FILTER(
          tb_talla_prenda[id_talla],
          tb_talla_prenda[id_prenda]=Cotizador!L22
        ),
        0
      )
    ),
    "No hay tallas"
  ),
  _xlfn._xlws.FILTER(
    tb_talla[talla],
    ISNUMBER(
      MATCH(
        tb_talla[id_talla],
        _xlfn._xlws.FILTER(
          tb_estilo_talla[id_talla],
          (tb_estilo_talla[id_prenda]=Cotizador!L22)*
          (tb_estilo_talla[id_estilo]=Cotizador!O22)
        ),
        0
      )
    ),
    "No hay tallas"
  )
)</f>
        <v>No hay tallas</v>
      </c>
    </row>
    <row r="216" spans="4:10" x14ac:dyDescent="0.3">
      <c r="D216" t="str" cm="1">
        <f t="array" ref="D216">_xlfn._xlws.FILTER(
 tb_color[color],
 ISNUMBER(
   MATCH(
     tb_color[id_color],
     _xlfn._xlws.FILTER(
       tb_tela_color[id_color],
       tb_tela_color[id_tela]=Cotizador!N23
     ),
     0
   )
 ),"No necesario"
)</f>
        <v>No necesario</v>
      </c>
      <c r="J216" t="str" cm="1">
        <f t="array" ref="J216">IF(
  OR(Cotizador!L23=3,Cotizador!L23=4),
  _xlfn._xlws.FILTER(
    tb_talla[talla],
    ISNUMBER(
      MATCH(
        tb_talla[id_talla],
        _xlfn._xlws.FILTER(
          tb_talla_prenda[id_talla],
          tb_talla_prenda[id_prenda]=Cotizador!L23
        ),
        0
      )
    ),
    "No hay tallas"
  ),
  _xlfn._xlws.FILTER(
    tb_talla[talla],
    ISNUMBER(
      MATCH(
        tb_talla[id_talla],
        _xlfn._xlws.FILTER(
          tb_estilo_talla[id_talla],
          (tb_estilo_talla[id_prenda]=Cotizador!L23)*
          (tb_estilo_talla[id_estilo]=Cotizador!O23)
        ),
        0
      )
    ),
    "No hay tallas"
  )
)</f>
        <v>No hay tallas</v>
      </c>
    </row>
    <row r="229" spans="4:10" x14ac:dyDescent="0.3">
      <c r="D229" t="str" cm="1">
        <f t="array" ref="D229">_xlfn._xlws.FILTER(
 tb_color[color],
 ISNUMBER(
   MATCH(
     tb_color[id_color],
     _xlfn._xlws.FILTER(
       tb_tela_color[id_color],
       tb_tela_color[id_tela]=Cotizador!N24
     ),
     0
   )
 ),"No necesario"
)</f>
        <v>No necesario</v>
      </c>
      <c r="J229" t="str" cm="1">
        <f t="array" ref="J229">IF(
  OR(Cotizador!L24=3,Cotizador!L24=4),
  _xlfn._xlws.FILTER(
    tb_talla[talla],
    ISNUMBER(
      MATCH(
        tb_talla[id_talla],
        _xlfn._xlws.FILTER(
          tb_talla_prenda[id_talla],
          tb_talla_prenda[id_prenda]=Cotizador!L24
        ),
        0
      )
    ),
    "No hay tallas"
  ),
  _xlfn._xlws.FILTER(
    tb_talla[talla],
    ISNUMBER(
      MATCH(
        tb_talla[id_talla],
        _xlfn._xlws.FILTER(
          tb_estilo_talla[id_talla],
          (tb_estilo_talla[id_prenda]=Cotizador!L24)*
          (tb_estilo_talla[id_estilo]=Cotizador!O24)
        ),
        0
      )
    ),
    "No hay tallas"
  )
)</f>
        <v>No hay tallas</v>
      </c>
    </row>
    <row r="242" spans="4:10" x14ac:dyDescent="0.3">
      <c r="D242" t="str" cm="1">
        <f t="array" ref="D242">_xlfn._xlws.FILTER(
 tb_color[color],
 ISNUMBER(
   MATCH(
     tb_color[id_color],
     _xlfn._xlws.FILTER(
       tb_tela_color[id_color],
       tb_tela_color[id_tela]=Cotizador!N25
     ),
     0
   )
 ),"No necesario"
)</f>
        <v>No necesario</v>
      </c>
      <c r="J242" t="str" cm="1">
        <f t="array" ref="J242">IF(
  OR(Cotizador!L25=3,Cotizador!L25=4),
  _xlfn._xlws.FILTER(
    tb_talla[talla],
    ISNUMBER(
      MATCH(
        tb_talla[id_talla],
        _xlfn._xlws.FILTER(
          tb_talla_prenda[id_talla],
          tb_talla_prenda[id_prenda]=Cotizador!L25
        ),
        0
      )
    ),
    "No hay tallas"
  ),
  _xlfn._xlws.FILTER(
    tb_talla[talla],
    ISNUMBER(
      MATCH(
        tb_talla[id_talla],
        _xlfn._xlws.FILTER(
          tb_estilo_talla[id_talla],
          (tb_estilo_talla[id_prenda]=Cotizador!L25)*
          (tb_estilo_talla[id_estilo]=Cotizador!O25)
        ),
        0
      )
    ),
    "No hay tallas"
  )
)</f>
        <v>No hay tallas</v>
      </c>
    </row>
    <row r="255" spans="4:10" x14ac:dyDescent="0.3">
      <c r="D255" t="str" cm="1">
        <f t="array" ref="D255">_xlfn._xlws.FILTER(
 tb_color[color],
 ISNUMBER(
   MATCH(
     tb_color[id_color],
     _xlfn._xlws.FILTER(
       tb_tela_color[id_color],
       tb_tela_color[id_tela]=Cotizador!N26
     ),
     0
   )
 ),"No necesario"
)</f>
        <v>No necesario</v>
      </c>
      <c r="J255" t="str" cm="1">
        <f t="array" ref="J255">IF(
  OR(Cotizador!L26=3,Cotizador!L26=4),
  _xlfn._xlws.FILTER(
    tb_talla[talla],
    ISNUMBER(
      MATCH(
        tb_talla[id_talla],
        _xlfn._xlws.FILTER(
          tb_talla_prenda[id_talla],
          tb_talla_prenda[id_prenda]=Cotizador!L26
        ),
        0
      )
    ),
    "No hay tallas"
  ),
  _xlfn._xlws.FILTER(
    tb_talla[talla],
    ISNUMBER(
      MATCH(
        tb_talla[id_talla],
        _xlfn._xlws.FILTER(
          tb_estilo_talla[id_talla],
          (tb_estilo_talla[id_prenda]=Cotizador!L26)*
          (tb_estilo_talla[id_estilo]=Cotizador!O26)
        ),
        0
      )
    ),
    "No hay tallas"
  )
)</f>
        <v>No hay tallas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B8A1-4AAB-4CDD-A44D-2F52E66A97FA}">
  <sheetPr>
    <tabColor rgb="FF0070C0"/>
  </sheetPr>
  <dimension ref="C4:AA36"/>
  <sheetViews>
    <sheetView tabSelected="1" topLeftCell="F1" workbookViewId="0">
      <selection activeCell="U4" sqref="U4:AA28"/>
    </sheetView>
  </sheetViews>
  <sheetFormatPr baseColWidth="10" defaultColWidth="8.88671875" defaultRowHeight="14.4" x14ac:dyDescent="0.3"/>
  <cols>
    <col min="3" max="3" width="12" customWidth="1"/>
    <col min="4" max="4" width="20.44140625" customWidth="1"/>
    <col min="5" max="5" width="17.88671875" customWidth="1"/>
    <col min="6" max="6" width="12.33203125" bestFit="1" customWidth="1"/>
    <col min="7" max="7" width="17.44140625" customWidth="1"/>
    <col min="8" max="8" width="12.33203125" bestFit="1" customWidth="1"/>
    <col min="9" max="9" width="13.44140625" customWidth="1"/>
    <col min="10" max="10" width="10.6640625" customWidth="1"/>
    <col min="11" max="11" width="8.88671875" customWidth="1"/>
    <col min="12" max="17" width="14" hidden="1" customWidth="1"/>
    <col min="18" max="18" width="11" hidden="1" customWidth="1"/>
    <col min="19" max="19" width="9" hidden="1" customWidth="1"/>
    <col min="20" max="20" width="9.109375" customWidth="1"/>
    <col min="22" max="22" width="50.44140625" bestFit="1" customWidth="1"/>
    <col min="23" max="24" width="15.5546875" customWidth="1"/>
    <col min="26" max="26" width="9.88671875" customWidth="1"/>
  </cols>
  <sheetData>
    <row r="4" spans="3:27" ht="18.75" customHeight="1" x14ac:dyDescent="0.3">
      <c r="U4" s="31" t="s">
        <v>107</v>
      </c>
      <c r="V4" s="32"/>
      <c r="W4" s="32"/>
      <c r="X4" s="32"/>
      <c r="Y4" s="32"/>
      <c r="Z4" s="32"/>
      <c r="AA4" s="33"/>
    </row>
    <row r="5" spans="3:27" x14ac:dyDescent="0.3">
      <c r="C5" s="2"/>
      <c r="D5" s="2"/>
      <c r="E5" s="2"/>
      <c r="U5" s="16"/>
      <c r="V5" s="17"/>
      <c r="W5" s="17"/>
      <c r="X5" s="17"/>
      <c r="Y5" s="17"/>
      <c r="Z5" s="17"/>
      <c r="AA5" s="18"/>
    </row>
    <row r="6" spans="3:27" x14ac:dyDescent="0.3">
      <c r="C6" s="10" t="s">
        <v>0</v>
      </c>
      <c r="D6" s="10" t="s">
        <v>2</v>
      </c>
      <c r="E6" s="10" t="s">
        <v>4</v>
      </c>
      <c r="F6" s="10" t="s">
        <v>7</v>
      </c>
      <c r="G6" s="10" t="s">
        <v>9</v>
      </c>
      <c r="H6" s="10" t="s">
        <v>12</v>
      </c>
      <c r="I6" s="10" t="s">
        <v>14</v>
      </c>
      <c r="J6" s="10" t="s">
        <v>15</v>
      </c>
      <c r="L6" s="10" t="s">
        <v>108</v>
      </c>
      <c r="M6" s="10" t="s">
        <v>109</v>
      </c>
      <c r="N6" s="10" t="s">
        <v>110</v>
      </c>
      <c r="O6" s="10" t="s">
        <v>111</v>
      </c>
      <c r="P6" s="10" t="s">
        <v>112</v>
      </c>
      <c r="Q6" s="10" t="s">
        <v>113</v>
      </c>
      <c r="R6" s="10" t="s">
        <v>114</v>
      </c>
      <c r="S6" s="10" t="s">
        <v>115</v>
      </c>
      <c r="U6" s="16"/>
      <c r="V6" s="10" t="s">
        <v>116</v>
      </c>
      <c r="W6" s="10" t="s">
        <v>16</v>
      </c>
      <c r="X6" s="10" t="s">
        <v>117</v>
      </c>
      <c r="Y6" s="10" t="s">
        <v>15</v>
      </c>
      <c r="Z6" s="10" t="s">
        <v>118</v>
      </c>
      <c r="AA6" s="18"/>
    </row>
    <row r="7" spans="3:27" x14ac:dyDescent="0.3">
      <c r="C7" s="23" t="s">
        <v>1</v>
      </c>
      <c r="D7" s="24" t="s">
        <v>46</v>
      </c>
      <c r="E7" s="24" t="s">
        <v>91</v>
      </c>
      <c r="F7" s="25" t="s">
        <v>65</v>
      </c>
      <c r="G7" s="24" t="s">
        <v>95</v>
      </c>
      <c r="H7" s="24" t="s">
        <v>84</v>
      </c>
      <c r="I7" s="24" t="s">
        <v>10</v>
      </c>
      <c r="J7" s="29">
        <v>2</v>
      </c>
      <c r="L7" s="2">
        <f>_xlfn.XLOOKUP(C7,tb_prenda[prenda],tb_prenda[id_prenda],"No encontrado")</f>
        <v>1</v>
      </c>
      <c r="M7" s="2">
        <f>_xlfn.XLOOKUP(D7,tb_contexto_precio[nombre_contexto],tb_contexto_precio[id_contexto_precio],"No encontrado")</f>
        <v>1</v>
      </c>
      <c r="N7" s="2">
        <f>_xlfn.XLOOKUP(E7,tb_tela[nombre_tela],tb_tela[id_tela],"No encontrado")</f>
        <v>2</v>
      </c>
      <c r="O7" s="2">
        <f>_xlfn.XLOOKUP(G7,tb_estilo[nombre_estilo],tb_estilo[id_estilo],"No encontrado")</f>
        <v>2</v>
      </c>
      <c r="P7" s="2">
        <f>_xlfn.XLOOKUP(H7,tb_talla[talla],tb_talla[id_talla],"No encontrado")</f>
        <v>10</v>
      </c>
      <c r="Q7" s="2" t="str">
        <f>_xlfn.XLOOKUP(I7,tb_marca[nombre_marca],tb_marca[id_marca],"No encontrado")</f>
        <v>No encontrado</v>
      </c>
      <c r="R7" s="2">
        <f>SUMIF($C$7:$C$11,C7,$J$7:$J$11)</f>
        <v>5</v>
      </c>
      <c r="S7" s="2">
        <f>_xlfn.XLOOKUP(R7,tb_rango_cantidad[min],tb_rango_cantidad[id_rango],,-1)</f>
        <v>1</v>
      </c>
      <c r="U7" s="16"/>
      <c r="V7" s="7" t="str">
        <f>UPPER(IF(L7=1,C7&amp;" de "&amp;E7&amp;" "&amp;F7&amp;" "&amp;G7&amp;" "&amp;H7,IF(L7=2,C7&amp;" de "&amp;E7&amp;" "&amp;F7&amp;" "&amp;G7&amp;" "&amp;H7,IF(L7=3,C7&amp;" "&amp;F7&amp;" TALLA "&amp;H7,C7&amp;" "&amp;I7&amp;" TALLA "&amp;H7))))</f>
        <v>POLO DE CALIDAD INTERMEDIA NEGRO RECTO L</v>
      </c>
      <c r="W7" s="12" cm="1">
        <f t="array" ref="W7">IF(L7=1,
    _xlfn.XLOOKUP(1,
      (tb_precio_polos[id_contexto_precio]=M7)*
      (tb_precio_polos[id_tela]=N7)*
      (tb_precio_polos[id_talla]=P7)*
      (tb_precio_polos[id_rango]=S7),
      tb_precio_polos[precio]
    ),
IF(L7=2,
    _xlfn.XLOOKUP(1,
      (tb_precio_poleras[id_contexto_precio]=M7)*
      (tb_precio_poleras[id_tela]=N7)*
      (tb_precio_poleras[id_estilo]=O7)*
      (tb_precio_poleras[id_talla]=P7)*
      (tb_precio_poleras[id_rango]=S7),
      tb_precio_poleras[precio]
    ),
IF(L7=3,
    _xlfn.XLOOKUP(1,
      (tb_precio_body[id_contexto_precio]=M7)*
      (tb_precio_body[id_talla]=P7)*
      (tb_precio_body[id_rango]=S7),
      tb_precio_body[precio]
    ),
IF(L7=4,
    _xlfn.XLOOKUP(1,
      (tb_precio_boxer[id_contexto_precio]=M7)*
      (tb_precio_boxer[id_marca]=Q7)*
      (tb_precio_boxer[id_talla]=P7),
      tb_precio_boxer[precio]
    ),
""
))))</f>
        <v>28</v>
      </c>
      <c r="X7" s="12"/>
      <c r="Y7" s="13">
        <f>J7</f>
        <v>2</v>
      </c>
      <c r="Z7" s="14">
        <f>(W7+X7)*Y7</f>
        <v>56</v>
      </c>
      <c r="AA7" s="18"/>
    </row>
    <row r="8" spans="3:27" x14ac:dyDescent="0.3">
      <c r="C8" s="23" t="s">
        <v>1</v>
      </c>
      <c r="D8" s="24" t="s">
        <v>46</v>
      </c>
      <c r="E8" s="24" t="s">
        <v>5</v>
      </c>
      <c r="F8" s="25" t="s">
        <v>8</v>
      </c>
      <c r="G8" s="24" t="s">
        <v>95</v>
      </c>
      <c r="H8" s="24" t="s">
        <v>83</v>
      </c>
      <c r="I8" s="24" t="s">
        <v>10</v>
      </c>
      <c r="J8" s="29">
        <v>2</v>
      </c>
      <c r="L8" s="2">
        <f>_xlfn.XLOOKUP(C8,tb_prenda[prenda],tb_prenda[id_prenda],"No encontrado")</f>
        <v>1</v>
      </c>
      <c r="M8" s="2">
        <f>_xlfn.XLOOKUP(D8,tb_contexto_precio[nombre_contexto],tb_contexto_precio[id_contexto_precio],"No encontrado")</f>
        <v>1</v>
      </c>
      <c r="N8" s="2">
        <f>_xlfn.XLOOKUP(E8,tb_tela[nombre_tela],tb_tela[id_tela],"No encontrado")</f>
        <v>1</v>
      </c>
      <c r="O8" s="2">
        <f>_xlfn.XLOOKUP(G8,tb_estilo[nombre_estilo],tb_estilo[id_estilo],"No encontrado")</f>
        <v>2</v>
      </c>
      <c r="P8" s="2">
        <f>_xlfn.XLOOKUP(H8,tb_talla[talla],tb_talla[id_talla],"No encontrado")</f>
        <v>9</v>
      </c>
      <c r="Q8" s="2" t="str">
        <f>_xlfn.XLOOKUP(I8,tb_marca[nombre_marca],tb_marca[id_marca],"No encontrado")</f>
        <v>No encontrado</v>
      </c>
      <c r="R8" s="2">
        <f t="shared" ref="R8:R26" si="0">SUMIF($C$7:$C$11,C8,$J$7:$J$11)</f>
        <v>5</v>
      </c>
      <c r="S8" s="2">
        <f>_xlfn.XLOOKUP(R8,tb_rango_cantidad[min],tb_rango_cantidad[id_rango],,-1)</f>
        <v>1</v>
      </c>
      <c r="U8" s="16"/>
      <c r="V8" s="7" t="str">
        <f t="shared" ref="V8:V9" si="1">UPPER(IF(L8=1,C8&amp;" de "&amp;E8&amp;" "&amp;F8&amp;" "&amp;G8&amp;" "&amp;H8,IF(L8=2,C8&amp;" de "&amp;E8&amp;" "&amp;F8&amp;" "&amp;G8&amp;" "&amp;H8,IF(L8=3,C8&amp;" "&amp;F8&amp;" TALLA "&amp;H8,C8&amp;" "&amp;I8&amp;" TALLA "&amp;H8))))</f>
        <v>POLO DE ALTA CALIDAD BLANCO RECTO M</v>
      </c>
      <c r="W8" s="12" cm="1">
        <f t="array" ref="W8">IF(L8=1,
    _xlfn.XLOOKUP(1,
      (tb_precio_polos[id_contexto_precio]=M8)*
      (tb_precio_polos[id_tela]=N8)*
      (tb_precio_polos[id_talla]=P8)*
      (tb_precio_polos[id_rango]=S8),
      tb_precio_polos[precio]
    ),
IF(L8=2,
    _xlfn.XLOOKUP(1,
      (tb_precio_poleras[id_contexto_precio]=M8)*
      (tb_precio_poleras[id_tela]=N8)*
      (tb_precio_poleras[id_estilo]=O8)*
      (tb_precio_poleras[id_talla]=P8)*
      (tb_precio_poleras[id_rango]=S8),
      tb_precio_poleras[precio]
    ),
IF(L8=3,
    _xlfn.XLOOKUP(1,
      (tb_precio_body[id_contexto_precio]=M8)*
      (tb_precio_body[id_talla]=P8)*
      (tb_precio_body[id_rango]=S8),
      tb_precio_body[precio]
    ),
IF(L8=4,
    _xlfn.XLOOKUP(1,
      (tb_precio_boxer[id_contexto_precio]=M8)*
      (tb_precio_boxer[id_marca]=Q8)*
      (tb_precio_boxer[id_talla]=P8),
      tb_precio_boxer[precio]
    ),
""
))))</f>
        <v>35</v>
      </c>
      <c r="X8" s="12"/>
      <c r="Y8" s="13">
        <f t="shared" ref="Y8:Y9" si="2">J8</f>
        <v>2</v>
      </c>
      <c r="Z8" s="14">
        <f t="shared" ref="Z8:Z9" si="3">(W8+X8)*Y8</f>
        <v>70</v>
      </c>
      <c r="AA8" s="18"/>
    </row>
    <row r="9" spans="3:27" x14ac:dyDescent="0.3">
      <c r="C9" s="23" t="s">
        <v>1</v>
      </c>
      <c r="D9" s="24" t="s">
        <v>46</v>
      </c>
      <c r="E9" s="24" t="s">
        <v>5</v>
      </c>
      <c r="F9" s="25" t="s">
        <v>61</v>
      </c>
      <c r="G9" s="24" t="s">
        <v>95</v>
      </c>
      <c r="H9" s="24" t="s">
        <v>82</v>
      </c>
      <c r="I9" s="24" t="s">
        <v>10</v>
      </c>
      <c r="J9" s="29">
        <v>1</v>
      </c>
      <c r="L9" s="2">
        <f>_xlfn.XLOOKUP(C9,tb_prenda[prenda],tb_prenda[id_prenda],"No encontrado")</f>
        <v>1</v>
      </c>
      <c r="M9" s="2">
        <f>_xlfn.XLOOKUP(D9,tb_contexto_precio[nombre_contexto],tb_contexto_precio[id_contexto_precio],"No encontrado")</f>
        <v>1</v>
      </c>
      <c r="N9" s="2">
        <f>_xlfn.XLOOKUP(E9,tb_tela[nombre_tela],tb_tela[id_tela],"No encontrado")</f>
        <v>1</v>
      </c>
      <c r="O9" s="2">
        <f>_xlfn.XLOOKUP(G9,tb_estilo[nombre_estilo],tb_estilo[id_estilo],"No encontrado")</f>
        <v>2</v>
      </c>
      <c r="P9" s="2">
        <f>_xlfn.XLOOKUP(H9,tb_talla[talla],tb_talla[id_talla],"No encontrado")</f>
        <v>8</v>
      </c>
      <c r="Q9" s="2" t="str">
        <f>_xlfn.XLOOKUP(I9,tb_marca[nombre_marca],tb_marca[id_marca],"No encontrado")</f>
        <v>No encontrado</v>
      </c>
      <c r="R9" s="2">
        <f t="shared" si="0"/>
        <v>5</v>
      </c>
      <c r="S9" s="2">
        <f>_xlfn.XLOOKUP(R9,tb_rango_cantidad[min],tb_rango_cantidad[id_rango],,-1)</f>
        <v>1</v>
      </c>
      <c r="U9" s="16"/>
      <c r="V9" s="7" t="str">
        <f t="shared" si="1"/>
        <v>POLO DE ALTA CALIDAD AZUL RECTO S</v>
      </c>
      <c r="W9" s="12" cm="1">
        <f t="array" ref="W9">IF(L9=1,
    _xlfn.XLOOKUP(1,
      (tb_precio_polos[id_contexto_precio]=M9)*
      (tb_precio_polos[id_tela]=N9)*
      (tb_precio_polos[id_talla]=P9)*
      (tb_precio_polos[id_rango]=S9),
      tb_precio_polos[precio]
    ),
IF(L9=2,
    _xlfn.XLOOKUP(1,
      (tb_precio_poleras[id_contexto_precio]=M9)*
      (tb_precio_poleras[id_tela]=N9)*
      (tb_precio_poleras[id_estilo]=O9)*
      (tb_precio_poleras[id_talla]=P9)*
      (tb_precio_poleras[id_rango]=S9),
      tb_precio_poleras[precio]
    ),
IF(L9=3,
    _xlfn.XLOOKUP(1,
      (tb_precio_body[id_contexto_precio]=M9)*
      (tb_precio_body[id_talla]=P9)*
      (tb_precio_body[id_rango]=S9),
      tb_precio_body[precio]
    ),
IF(L9=4,
    _xlfn.XLOOKUP(1,
      (tb_precio_boxer[id_contexto_precio]=M9)*
      (tb_precio_boxer[id_marca]=Q9)*
      (tb_precio_boxer[id_talla]=P9),
      tb_precio_boxer[precio]
    ),
""
))))</f>
        <v>35</v>
      </c>
      <c r="X9" s="12"/>
      <c r="Y9" s="13">
        <f t="shared" si="2"/>
        <v>1</v>
      </c>
      <c r="Z9" s="14">
        <f t="shared" si="3"/>
        <v>35</v>
      </c>
      <c r="AA9" s="18"/>
    </row>
    <row r="10" spans="3:27" x14ac:dyDescent="0.3">
      <c r="C10" s="23"/>
      <c r="D10" s="24"/>
      <c r="E10" s="24"/>
      <c r="F10" s="25"/>
      <c r="G10" s="24"/>
      <c r="H10" s="24"/>
      <c r="I10" s="24"/>
      <c r="J10" s="29"/>
      <c r="L10" s="2" t="str">
        <f>_xlfn.XLOOKUP(C10,tb_prenda[prenda],tb_prenda[id_prenda],"No encontrado")</f>
        <v>No encontrado</v>
      </c>
      <c r="M10" s="2" t="str">
        <f>_xlfn.XLOOKUP(D10,tb_contexto_precio[nombre_contexto],tb_contexto_precio[id_contexto_precio],"No encontrado")</f>
        <v>No encontrado</v>
      </c>
      <c r="N10" s="2" t="str">
        <f>_xlfn.XLOOKUP(E10,tb_tela[nombre_tela],tb_tela[id_tela],"No encontrado")</f>
        <v>No encontrado</v>
      </c>
      <c r="O10" s="2" t="str">
        <f>_xlfn.XLOOKUP(G10,tb_estilo[nombre_estilo],tb_estilo[id_estilo],"No encontrado")</f>
        <v>No encontrado</v>
      </c>
      <c r="P10" s="2" t="str">
        <f>_xlfn.XLOOKUP(H10,tb_talla[talla],tb_talla[id_talla],"No encontrado")</f>
        <v>No encontrado</v>
      </c>
      <c r="Q10" s="2" t="str">
        <f>_xlfn.XLOOKUP(I10,tb_marca[nombre_marca],tb_marca[id_marca],"No encontrado")</f>
        <v>No encontrado</v>
      </c>
      <c r="R10" s="2">
        <f t="shared" si="0"/>
        <v>0</v>
      </c>
      <c r="S10" s="2" t="e">
        <f>_xlfn.XLOOKUP(R10,tb_rango_cantidad[min],tb_rango_cantidad[id_rango],,-1)</f>
        <v>#N/A</v>
      </c>
      <c r="U10" s="16"/>
      <c r="V10" s="7"/>
      <c r="W10" s="12"/>
      <c r="X10" s="12"/>
      <c r="Y10" s="13"/>
      <c r="Z10" s="14"/>
      <c r="AA10" s="18"/>
    </row>
    <row r="11" spans="3:27" x14ac:dyDescent="0.3">
      <c r="C11" s="23"/>
      <c r="D11" s="24"/>
      <c r="E11" s="24"/>
      <c r="F11" s="25"/>
      <c r="G11" s="24"/>
      <c r="H11" s="24"/>
      <c r="I11" s="24"/>
      <c r="J11" s="29"/>
      <c r="L11" s="2" t="str">
        <f>_xlfn.XLOOKUP(C11,tb_prenda[prenda],tb_prenda[id_prenda],"No encontrado")</f>
        <v>No encontrado</v>
      </c>
      <c r="M11" s="2" t="str">
        <f>_xlfn.XLOOKUP(D11,tb_contexto_precio[nombre_contexto],tb_contexto_precio[id_contexto_precio],"No encontrado")</f>
        <v>No encontrado</v>
      </c>
      <c r="N11" s="2" t="str">
        <f>_xlfn.XLOOKUP(E11,tb_tela[nombre_tela],tb_tela[id_tela],"No encontrado")</f>
        <v>No encontrado</v>
      </c>
      <c r="O11" s="2" t="str">
        <f>_xlfn.XLOOKUP(G11,tb_estilo[nombre_estilo],tb_estilo[id_estilo],"No encontrado")</f>
        <v>No encontrado</v>
      </c>
      <c r="P11" s="2" t="str">
        <f>_xlfn.XLOOKUP(H11,tb_talla[talla],tb_talla[id_talla],"No encontrado")</f>
        <v>No encontrado</v>
      </c>
      <c r="Q11" s="2" t="str">
        <f>_xlfn.XLOOKUP(I11,tb_marca[nombre_marca],tb_marca[id_marca],"No encontrado")</f>
        <v>No encontrado</v>
      </c>
      <c r="R11" s="2">
        <f t="shared" si="0"/>
        <v>0</v>
      </c>
      <c r="S11" s="2" t="e">
        <f>_xlfn.XLOOKUP(R11,tb_rango_cantidad[min],tb_rango_cantidad[id_rango],,-1)</f>
        <v>#N/A</v>
      </c>
      <c r="U11" s="16"/>
      <c r="V11" s="7"/>
      <c r="W11" s="12"/>
      <c r="X11" s="12"/>
      <c r="Y11" s="13"/>
      <c r="Z11" s="14"/>
      <c r="AA11" s="18"/>
    </row>
    <row r="12" spans="3:27" x14ac:dyDescent="0.3">
      <c r="C12" s="23"/>
      <c r="D12" s="24"/>
      <c r="E12" s="24"/>
      <c r="F12" s="25"/>
      <c r="G12" s="24"/>
      <c r="H12" s="24"/>
      <c r="I12" s="24"/>
      <c r="J12" s="29"/>
      <c r="L12" s="2" t="str">
        <f>_xlfn.XLOOKUP(C12,tb_prenda[prenda],tb_prenda[id_prenda],"No encontrado")</f>
        <v>No encontrado</v>
      </c>
      <c r="M12" s="2" t="str">
        <f>_xlfn.XLOOKUP(D12,tb_contexto_precio[nombre_contexto],tb_contexto_precio[id_contexto_precio],"No encontrado")</f>
        <v>No encontrado</v>
      </c>
      <c r="N12" s="2" t="str">
        <f>_xlfn.XLOOKUP(E12,tb_tela[nombre_tela],tb_tela[id_tela],"No encontrado")</f>
        <v>No encontrado</v>
      </c>
      <c r="O12" s="2" t="str">
        <f>_xlfn.XLOOKUP(G12,tb_estilo[nombre_estilo],tb_estilo[id_estilo],"No encontrado")</f>
        <v>No encontrado</v>
      </c>
      <c r="P12" s="2" t="str">
        <f>_xlfn.XLOOKUP(H12,tb_talla[talla],tb_talla[id_talla],"No encontrado")</f>
        <v>No encontrado</v>
      </c>
      <c r="Q12" s="2" t="str">
        <f>_xlfn.XLOOKUP(I12,tb_marca[nombre_marca],tb_marca[id_marca],"No encontrado")</f>
        <v>No encontrado</v>
      </c>
      <c r="R12" s="2">
        <f t="shared" si="0"/>
        <v>0</v>
      </c>
      <c r="S12" s="2" t="e">
        <f>_xlfn.XLOOKUP(R12,tb_rango_cantidad[min],tb_rango_cantidad[id_rango],,-1)</f>
        <v>#N/A</v>
      </c>
      <c r="U12" s="16"/>
      <c r="V12" s="7"/>
      <c r="W12" s="12"/>
      <c r="X12" s="12"/>
      <c r="Y12" s="13"/>
      <c r="Z12" s="14"/>
      <c r="AA12" s="18"/>
    </row>
    <row r="13" spans="3:27" x14ac:dyDescent="0.3">
      <c r="C13" s="23"/>
      <c r="D13" s="24"/>
      <c r="E13" s="24"/>
      <c r="F13" s="25"/>
      <c r="G13" s="24"/>
      <c r="H13" s="24"/>
      <c r="I13" s="24"/>
      <c r="J13" s="29"/>
      <c r="L13" s="2" t="str">
        <f>_xlfn.XLOOKUP(C13,tb_prenda[prenda],tb_prenda[id_prenda],"No encontrado")</f>
        <v>No encontrado</v>
      </c>
      <c r="M13" s="2" t="str">
        <f>_xlfn.XLOOKUP(D13,tb_contexto_precio[nombre_contexto],tb_contexto_precio[id_contexto_precio],"No encontrado")</f>
        <v>No encontrado</v>
      </c>
      <c r="N13" s="2" t="str">
        <f>_xlfn.XLOOKUP(E13,tb_tela[nombre_tela],tb_tela[id_tela],"No encontrado")</f>
        <v>No encontrado</v>
      </c>
      <c r="O13" s="2" t="str">
        <f>_xlfn.XLOOKUP(G13,tb_estilo[nombre_estilo],tb_estilo[id_estilo],"No encontrado")</f>
        <v>No encontrado</v>
      </c>
      <c r="P13" s="2" t="str">
        <f>_xlfn.XLOOKUP(H13,tb_talla[talla],tb_talla[id_talla],"No encontrado")</f>
        <v>No encontrado</v>
      </c>
      <c r="Q13" s="2" t="str">
        <f>_xlfn.XLOOKUP(I13,tb_marca[nombre_marca],tb_marca[id_marca],"No encontrado")</f>
        <v>No encontrado</v>
      </c>
      <c r="R13" s="2">
        <f t="shared" si="0"/>
        <v>0</v>
      </c>
      <c r="S13" s="2" t="e">
        <f>_xlfn.XLOOKUP(R13,tb_rango_cantidad[min],tb_rango_cantidad[id_rango],,-1)</f>
        <v>#N/A</v>
      </c>
      <c r="U13" s="16"/>
      <c r="V13" s="7"/>
      <c r="W13" s="12"/>
      <c r="X13" s="12"/>
      <c r="Y13" s="13"/>
      <c r="Z13" s="14"/>
      <c r="AA13" s="18"/>
    </row>
    <row r="14" spans="3:27" x14ac:dyDescent="0.3">
      <c r="C14" s="23"/>
      <c r="D14" s="24"/>
      <c r="E14" s="24"/>
      <c r="F14" s="25"/>
      <c r="G14" s="24"/>
      <c r="H14" s="24"/>
      <c r="I14" s="24"/>
      <c r="J14" s="29"/>
      <c r="L14" s="2" t="str">
        <f>_xlfn.XLOOKUP(C14,tb_prenda[prenda],tb_prenda[id_prenda],"No encontrado")</f>
        <v>No encontrado</v>
      </c>
      <c r="M14" s="2" t="str">
        <f>_xlfn.XLOOKUP(D14,tb_contexto_precio[nombre_contexto],tb_contexto_precio[id_contexto_precio],"No encontrado")</f>
        <v>No encontrado</v>
      </c>
      <c r="N14" s="2" t="str">
        <f>_xlfn.XLOOKUP(E14,tb_tela[nombre_tela],tb_tela[id_tela],"No encontrado")</f>
        <v>No encontrado</v>
      </c>
      <c r="O14" s="2" t="str">
        <f>_xlfn.XLOOKUP(G14,tb_estilo[nombre_estilo],tb_estilo[id_estilo],"No encontrado")</f>
        <v>No encontrado</v>
      </c>
      <c r="P14" s="2" t="str">
        <f>_xlfn.XLOOKUP(H14,tb_talla[talla],tb_talla[id_talla],"No encontrado")</f>
        <v>No encontrado</v>
      </c>
      <c r="Q14" s="2" t="str">
        <f>_xlfn.XLOOKUP(I14,tb_marca[nombre_marca],tb_marca[id_marca],"No encontrado")</f>
        <v>No encontrado</v>
      </c>
      <c r="R14" s="2">
        <f t="shared" si="0"/>
        <v>0</v>
      </c>
      <c r="S14" s="2" t="e">
        <f>_xlfn.XLOOKUP(R14,tb_rango_cantidad[min],tb_rango_cantidad[id_rango],,-1)</f>
        <v>#N/A</v>
      </c>
      <c r="U14" s="16"/>
      <c r="V14" s="7"/>
      <c r="W14" s="12"/>
      <c r="X14" s="12"/>
      <c r="Y14" s="13"/>
      <c r="Z14" s="14"/>
      <c r="AA14" s="18"/>
    </row>
    <row r="15" spans="3:27" x14ac:dyDescent="0.3">
      <c r="C15" s="23"/>
      <c r="D15" s="24"/>
      <c r="E15" s="24"/>
      <c r="F15" s="25"/>
      <c r="G15" s="24"/>
      <c r="H15" s="24"/>
      <c r="I15" s="24"/>
      <c r="J15" s="29"/>
      <c r="L15" s="2" t="str">
        <f>_xlfn.XLOOKUP(C15,tb_prenda[prenda],tb_prenda[id_prenda],"No encontrado")</f>
        <v>No encontrado</v>
      </c>
      <c r="M15" s="2" t="str">
        <f>_xlfn.XLOOKUP(D15,tb_contexto_precio[nombre_contexto],tb_contexto_precio[id_contexto_precio],"No encontrado")</f>
        <v>No encontrado</v>
      </c>
      <c r="N15" s="2" t="str">
        <f>_xlfn.XLOOKUP(E15,tb_tela[nombre_tela],tb_tela[id_tela],"No encontrado")</f>
        <v>No encontrado</v>
      </c>
      <c r="O15" s="2" t="str">
        <f>_xlfn.XLOOKUP(G15,tb_estilo[nombre_estilo],tb_estilo[id_estilo],"No encontrado")</f>
        <v>No encontrado</v>
      </c>
      <c r="P15" s="2" t="str">
        <f>_xlfn.XLOOKUP(H15,tb_talla[talla],tb_talla[id_talla],"No encontrado")</f>
        <v>No encontrado</v>
      </c>
      <c r="Q15" s="2" t="str">
        <f>_xlfn.XLOOKUP(I15,tb_marca[nombre_marca],tb_marca[id_marca],"No encontrado")</f>
        <v>No encontrado</v>
      </c>
      <c r="R15" s="2">
        <f t="shared" si="0"/>
        <v>0</v>
      </c>
      <c r="S15" s="2" t="e">
        <f>_xlfn.XLOOKUP(R15,tb_rango_cantidad[min],tb_rango_cantidad[id_rango],,-1)</f>
        <v>#N/A</v>
      </c>
      <c r="U15" s="16"/>
      <c r="V15" s="7"/>
      <c r="W15" s="12"/>
      <c r="X15" s="12"/>
      <c r="Y15" s="13"/>
      <c r="Z15" s="14"/>
      <c r="AA15" s="18"/>
    </row>
    <row r="16" spans="3:27" x14ac:dyDescent="0.3">
      <c r="C16" s="23"/>
      <c r="D16" s="24"/>
      <c r="E16" s="24"/>
      <c r="F16" s="25"/>
      <c r="G16" s="24"/>
      <c r="H16" s="24"/>
      <c r="I16" s="24"/>
      <c r="J16" s="29"/>
      <c r="L16" s="2" t="str">
        <f>_xlfn.XLOOKUP(C16,tb_prenda[prenda],tb_prenda[id_prenda],"No encontrado")</f>
        <v>No encontrado</v>
      </c>
      <c r="M16" s="2" t="str">
        <f>_xlfn.XLOOKUP(D16,tb_contexto_precio[nombre_contexto],tb_contexto_precio[id_contexto_precio],"No encontrado")</f>
        <v>No encontrado</v>
      </c>
      <c r="N16" s="2" t="str">
        <f>_xlfn.XLOOKUP(E16,tb_tela[nombre_tela],tb_tela[id_tela],"No encontrado")</f>
        <v>No encontrado</v>
      </c>
      <c r="O16" s="2" t="str">
        <f>_xlfn.XLOOKUP(G16,tb_estilo[nombre_estilo],tb_estilo[id_estilo],"No encontrado")</f>
        <v>No encontrado</v>
      </c>
      <c r="P16" s="2" t="str">
        <f>_xlfn.XLOOKUP(H16,tb_talla[talla],tb_talla[id_talla],"No encontrado")</f>
        <v>No encontrado</v>
      </c>
      <c r="Q16" s="2" t="str">
        <f>_xlfn.XLOOKUP(I16,tb_marca[nombre_marca],tb_marca[id_marca],"No encontrado")</f>
        <v>No encontrado</v>
      </c>
      <c r="R16" s="2">
        <f t="shared" si="0"/>
        <v>0</v>
      </c>
      <c r="S16" s="2" t="e">
        <f>_xlfn.XLOOKUP(R16,tb_rango_cantidad[min],tb_rango_cantidad[id_rango],,-1)</f>
        <v>#N/A</v>
      </c>
      <c r="U16" s="16"/>
      <c r="V16" s="7"/>
      <c r="W16" s="12"/>
      <c r="X16" s="12"/>
      <c r="Y16" s="13"/>
      <c r="Z16" s="14"/>
      <c r="AA16" s="18"/>
    </row>
    <row r="17" spans="3:27" x14ac:dyDescent="0.3">
      <c r="C17" s="23"/>
      <c r="D17" s="24"/>
      <c r="E17" s="24"/>
      <c r="F17" s="25"/>
      <c r="G17" s="24"/>
      <c r="H17" s="24"/>
      <c r="I17" s="24"/>
      <c r="J17" s="29"/>
      <c r="L17" s="2" t="str">
        <f>_xlfn.XLOOKUP(C17,tb_prenda[prenda],tb_prenda[id_prenda],"No encontrado")</f>
        <v>No encontrado</v>
      </c>
      <c r="M17" s="2" t="str">
        <f>_xlfn.XLOOKUP(D17,tb_contexto_precio[nombre_contexto],tb_contexto_precio[id_contexto_precio],"No encontrado")</f>
        <v>No encontrado</v>
      </c>
      <c r="N17" s="2" t="str">
        <f>_xlfn.XLOOKUP(E17,tb_tela[nombre_tela],tb_tela[id_tela],"No encontrado")</f>
        <v>No encontrado</v>
      </c>
      <c r="O17" s="2" t="str">
        <f>_xlfn.XLOOKUP(G17,tb_estilo[nombre_estilo],tb_estilo[id_estilo],"No encontrado")</f>
        <v>No encontrado</v>
      </c>
      <c r="P17" s="2" t="str">
        <f>_xlfn.XLOOKUP(H17,tb_talla[talla],tb_talla[id_talla],"No encontrado")</f>
        <v>No encontrado</v>
      </c>
      <c r="Q17" s="2" t="str">
        <f>_xlfn.XLOOKUP(I17,tb_marca[nombre_marca],tb_marca[id_marca],"No encontrado")</f>
        <v>No encontrado</v>
      </c>
      <c r="R17" s="2">
        <f t="shared" si="0"/>
        <v>0</v>
      </c>
      <c r="S17" s="2" t="e">
        <f>_xlfn.XLOOKUP(R17,tb_rango_cantidad[min],tb_rango_cantidad[id_rango],,-1)</f>
        <v>#N/A</v>
      </c>
      <c r="U17" s="16"/>
      <c r="V17" s="7"/>
      <c r="W17" s="12"/>
      <c r="X17" s="12"/>
      <c r="Y17" s="13"/>
      <c r="Z17" s="14"/>
      <c r="AA17" s="18"/>
    </row>
    <row r="18" spans="3:27" x14ac:dyDescent="0.3">
      <c r="C18" s="23"/>
      <c r="D18" s="24"/>
      <c r="E18" s="24"/>
      <c r="F18" s="25"/>
      <c r="G18" s="24"/>
      <c r="H18" s="24"/>
      <c r="I18" s="24"/>
      <c r="J18" s="29"/>
      <c r="L18" s="2" t="str">
        <f>_xlfn.XLOOKUP(C18,tb_prenda[prenda],tb_prenda[id_prenda],"No encontrado")</f>
        <v>No encontrado</v>
      </c>
      <c r="M18" s="2" t="str">
        <f>_xlfn.XLOOKUP(D18,tb_contexto_precio[nombre_contexto],tb_contexto_precio[id_contexto_precio],"No encontrado")</f>
        <v>No encontrado</v>
      </c>
      <c r="N18" s="2" t="str">
        <f>_xlfn.XLOOKUP(E18,tb_tela[nombre_tela],tb_tela[id_tela],"No encontrado")</f>
        <v>No encontrado</v>
      </c>
      <c r="O18" s="2" t="str">
        <f>_xlfn.XLOOKUP(G18,tb_estilo[nombre_estilo],tb_estilo[id_estilo],"No encontrado")</f>
        <v>No encontrado</v>
      </c>
      <c r="P18" s="2" t="str">
        <f>_xlfn.XLOOKUP(H18,tb_talla[talla],tb_talla[id_talla],"No encontrado")</f>
        <v>No encontrado</v>
      </c>
      <c r="Q18" s="2" t="str">
        <f>_xlfn.XLOOKUP(I18,tb_marca[nombre_marca],tb_marca[id_marca],"No encontrado")</f>
        <v>No encontrado</v>
      </c>
      <c r="R18" s="2">
        <f t="shared" si="0"/>
        <v>0</v>
      </c>
      <c r="S18" s="2" t="e">
        <f>_xlfn.XLOOKUP(R18,tb_rango_cantidad[min],tb_rango_cantidad[id_rango],,-1)</f>
        <v>#N/A</v>
      </c>
      <c r="U18" s="16"/>
      <c r="V18" s="7"/>
      <c r="W18" s="12"/>
      <c r="X18" s="12"/>
      <c r="Y18" s="13"/>
      <c r="Z18" s="14"/>
      <c r="AA18" s="18"/>
    </row>
    <row r="19" spans="3:27" x14ac:dyDescent="0.3">
      <c r="C19" s="23"/>
      <c r="D19" s="24"/>
      <c r="E19" s="24"/>
      <c r="F19" s="25"/>
      <c r="G19" s="24"/>
      <c r="H19" s="24"/>
      <c r="I19" s="24"/>
      <c r="J19" s="29"/>
      <c r="L19" s="2" t="str">
        <f>_xlfn.XLOOKUP(C19,tb_prenda[prenda],tb_prenda[id_prenda],"No encontrado")</f>
        <v>No encontrado</v>
      </c>
      <c r="M19" s="2" t="str">
        <f>_xlfn.XLOOKUP(D19,tb_contexto_precio[nombre_contexto],tb_contexto_precio[id_contexto_precio],"No encontrado")</f>
        <v>No encontrado</v>
      </c>
      <c r="N19" s="2" t="str">
        <f>_xlfn.XLOOKUP(E19,tb_tela[nombre_tela],tb_tela[id_tela],"No encontrado")</f>
        <v>No encontrado</v>
      </c>
      <c r="O19" s="2" t="str">
        <f>_xlfn.XLOOKUP(G19,tb_estilo[nombre_estilo],tb_estilo[id_estilo],"No encontrado")</f>
        <v>No encontrado</v>
      </c>
      <c r="P19" s="2" t="str">
        <f>_xlfn.XLOOKUP(H19,tb_talla[talla],tb_talla[id_talla],"No encontrado")</f>
        <v>No encontrado</v>
      </c>
      <c r="Q19" s="2" t="str">
        <f>_xlfn.XLOOKUP(I19,tb_marca[nombre_marca],tb_marca[id_marca],"No encontrado")</f>
        <v>No encontrado</v>
      </c>
      <c r="R19" s="2">
        <f t="shared" si="0"/>
        <v>0</v>
      </c>
      <c r="S19" s="2" t="e">
        <f>_xlfn.XLOOKUP(R19,tb_rango_cantidad[min],tb_rango_cantidad[id_rango],,-1)</f>
        <v>#N/A</v>
      </c>
      <c r="U19" s="16"/>
      <c r="V19" s="7"/>
      <c r="W19" s="12"/>
      <c r="X19" s="12"/>
      <c r="Y19" s="13"/>
      <c r="Z19" s="14"/>
      <c r="AA19" s="18"/>
    </row>
    <row r="20" spans="3:27" x14ac:dyDescent="0.3">
      <c r="C20" s="23"/>
      <c r="D20" s="24"/>
      <c r="E20" s="24"/>
      <c r="F20" s="25"/>
      <c r="G20" s="24"/>
      <c r="H20" s="24"/>
      <c r="I20" s="24"/>
      <c r="J20" s="29"/>
      <c r="L20" s="2" t="str">
        <f>_xlfn.XLOOKUP(C20,tb_prenda[prenda],tb_prenda[id_prenda],"No encontrado")</f>
        <v>No encontrado</v>
      </c>
      <c r="M20" s="2" t="str">
        <f>_xlfn.XLOOKUP(D20,tb_contexto_precio[nombre_contexto],tb_contexto_precio[id_contexto_precio],"No encontrado")</f>
        <v>No encontrado</v>
      </c>
      <c r="N20" s="2" t="str">
        <f>_xlfn.XLOOKUP(E20,tb_tela[nombre_tela],tb_tela[id_tela],"No encontrado")</f>
        <v>No encontrado</v>
      </c>
      <c r="O20" s="2" t="str">
        <f>_xlfn.XLOOKUP(G20,tb_estilo[nombre_estilo],tb_estilo[id_estilo],"No encontrado")</f>
        <v>No encontrado</v>
      </c>
      <c r="P20" s="2" t="str">
        <f>_xlfn.XLOOKUP(H20,tb_talla[talla],tb_talla[id_talla],"No encontrado")</f>
        <v>No encontrado</v>
      </c>
      <c r="Q20" s="2" t="str">
        <f>_xlfn.XLOOKUP(I20,tb_marca[nombre_marca],tb_marca[id_marca],"No encontrado")</f>
        <v>No encontrado</v>
      </c>
      <c r="R20" s="2">
        <f t="shared" si="0"/>
        <v>0</v>
      </c>
      <c r="S20" s="2" t="e">
        <f>_xlfn.XLOOKUP(R20,tb_rango_cantidad[min],tb_rango_cantidad[id_rango],,-1)</f>
        <v>#N/A</v>
      </c>
      <c r="U20" s="16"/>
      <c r="V20" s="7"/>
      <c r="W20" s="12"/>
      <c r="X20" s="12"/>
      <c r="Y20" s="13"/>
      <c r="Z20" s="14"/>
      <c r="AA20" s="18"/>
    </row>
    <row r="21" spans="3:27" x14ac:dyDescent="0.3">
      <c r="C21" s="23"/>
      <c r="D21" s="24"/>
      <c r="E21" s="24"/>
      <c r="F21" s="25"/>
      <c r="G21" s="24"/>
      <c r="H21" s="24"/>
      <c r="I21" s="24"/>
      <c r="J21" s="29"/>
      <c r="L21" s="2" t="str">
        <f>_xlfn.XLOOKUP(C21,tb_prenda[prenda],tb_prenda[id_prenda],"No encontrado")</f>
        <v>No encontrado</v>
      </c>
      <c r="M21" s="2" t="str">
        <f>_xlfn.XLOOKUP(D21,tb_contexto_precio[nombre_contexto],tb_contexto_precio[id_contexto_precio],"No encontrado")</f>
        <v>No encontrado</v>
      </c>
      <c r="N21" s="2" t="str">
        <f>_xlfn.XLOOKUP(E21,tb_tela[nombre_tela],tb_tela[id_tela],"No encontrado")</f>
        <v>No encontrado</v>
      </c>
      <c r="O21" s="2" t="str">
        <f>_xlfn.XLOOKUP(G21,tb_estilo[nombre_estilo],tb_estilo[id_estilo],"No encontrado")</f>
        <v>No encontrado</v>
      </c>
      <c r="P21" s="2" t="str">
        <f>_xlfn.XLOOKUP(H21,tb_talla[talla],tb_talla[id_talla],"No encontrado")</f>
        <v>No encontrado</v>
      </c>
      <c r="Q21" s="2" t="str">
        <f>_xlfn.XLOOKUP(I21,tb_marca[nombre_marca],tb_marca[id_marca],"No encontrado")</f>
        <v>No encontrado</v>
      </c>
      <c r="R21" s="2">
        <f t="shared" si="0"/>
        <v>0</v>
      </c>
      <c r="S21" s="2" t="e">
        <f>_xlfn.XLOOKUP(R21,tb_rango_cantidad[min],tb_rango_cantidad[id_rango],,-1)</f>
        <v>#N/A</v>
      </c>
      <c r="U21" s="16"/>
      <c r="V21" s="7"/>
      <c r="W21" s="12"/>
      <c r="X21" s="12"/>
      <c r="Y21" s="13"/>
      <c r="Z21" s="14"/>
      <c r="AA21" s="18"/>
    </row>
    <row r="22" spans="3:27" x14ac:dyDescent="0.3">
      <c r="C22" s="23"/>
      <c r="D22" s="24"/>
      <c r="E22" s="24"/>
      <c r="F22" s="25"/>
      <c r="G22" s="24"/>
      <c r="H22" s="24"/>
      <c r="I22" s="24"/>
      <c r="J22" s="29"/>
      <c r="L22" s="2" t="str">
        <f>_xlfn.XLOOKUP(C22,tb_prenda[prenda],tb_prenda[id_prenda],"No encontrado")</f>
        <v>No encontrado</v>
      </c>
      <c r="M22" s="2" t="str">
        <f>_xlfn.XLOOKUP(D22,tb_contexto_precio[nombre_contexto],tb_contexto_precio[id_contexto_precio],"No encontrado")</f>
        <v>No encontrado</v>
      </c>
      <c r="N22" s="2" t="str">
        <f>_xlfn.XLOOKUP(E22,tb_tela[nombre_tela],tb_tela[id_tela],"No encontrado")</f>
        <v>No encontrado</v>
      </c>
      <c r="O22" s="2" t="str">
        <f>_xlfn.XLOOKUP(G22,tb_estilo[nombre_estilo],tb_estilo[id_estilo],"No encontrado")</f>
        <v>No encontrado</v>
      </c>
      <c r="P22" s="2" t="str">
        <f>_xlfn.XLOOKUP(H22,tb_talla[talla],tb_talla[id_talla],"No encontrado")</f>
        <v>No encontrado</v>
      </c>
      <c r="Q22" s="2" t="str">
        <f>_xlfn.XLOOKUP(I22,tb_marca[nombre_marca],tb_marca[id_marca],"No encontrado")</f>
        <v>No encontrado</v>
      </c>
      <c r="R22" s="2">
        <f t="shared" si="0"/>
        <v>0</v>
      </c>
      <c r="S22" s="2" t="e">
        <f>_xlfn.XLOOKUP(R22,tb_rango_cantidad[min],tb_rango_cantidad[id_rango],,-1)</f>
        <v>#N/A</v>
      </c>
      <c r="U22" s="16"/>
      <c r="V22" s="7"/>
      <c r="W22" s="12"/>
      <c r="X22" s="12"/>
      <c r="Y22" s="13"/>
      <c r="Z22" s="14"/>
      <c r="AA22" s="18"/>
    </row>
    <row r="23" spans="3:27" x14ac:dyDescent="0.3">
      <c r="C23" s="23"/>
      <c r="D23" s="24"/>
      <c r="E23" s="24"/>
      <c r="F23" s="25"/>
      <c r="G23" s="24"/>
      <c r="H23" s="24"/>
      <c r="I23" s="24"/>
      <c r="J23" s="29"/>
      <c r="L23" s="2" t="str">
        <f>_xlfn.XLOOKUP(C23,tb_prenda[prenda],tb_prenda[id_prenda],"No encontrado")</f>
        <v>No encontrado</v>
      </c>
      <c r="M23" s="2" t="str">
        <f>_xlfn.XLOOKUP(D23,tb_contexto_precio[nombre_contexto],tb_contexto_precio[id_contexto_precio],"No encontrado")</f>
        <v>No encontrado</v>
      </c>
      <c r="N23" s="2" t="str">
        <f>_xlfn.XLOOKUP(E23,tb_tela[nombre_tela],tb_tela[id_tela],"No encontrado")</f>
        <v>No encontrado</v>
      </c>
      <c r="O23" s="2" t="str">
        <f>_xlfn.XLOOKUP(G23,tb_estilo[nombre_estilo],tb_estilo[id_estilo],"No encontrado")</f>
        <v>No encontrado</v>
      </c>
      <c r="P23" s="2" t="str">
        <f>_xlfn.XLOOKUP(H23,tb_talla[talla],tb_talla[id_talla],"No encontrado")</f>
        <v>No encontrado</v>
      </c>
      <c r="Q23" s="2" t="str">
        <f>_xlfn.XLOOKUP(I23,tb_marca[nombre_marca],tb_marca[id_marca],"No encontrado")</f>
        <v>No encontrado</v>
      </c>
      <c r="R23" s="2">
        <f t="shared" si="0"/>
        <v>0</v>
      </c>
      <c r="S23" s="2" t="e">
        <f>_xlfn.XLOOKUP(R23,tb_rango_cantidad[min],tb_rango_cantidad[id_rango],,-1)</f>
        <v>#N/A</v>
      </c>
      <c r="U23" s="16"/>
      <c r="V23" s="7"/>
      <c r="W23" s="12"/>
      <c r="X23" s="12"/>
      <c r="Y23" s="13"/>
      <c r="Z23" s="14"/>
      <c r="AA23" s="18"/>
    </row>
    <row r="24" spans="3:27" x14ac:dyDescent="0.3">
      <c r="C24" s="23"/>
      <c r="D24" s="24"/>
      <c r="E24" s="24"/>
      <c r="F24" s="25"/>
      <c r="G24" s="24"/>
      <c r="H24" s="24"/>
      <c r="I24" s="24"/>
      <c r="J24" s="29"/>
      <c r="L24" s="2" t="str">
        <f>_xlfn.XLOOKUP(C24,tb_prenda[prenda],tb_prenda[id_prenda],"No encontrado")</f>
        <v>No encontrado</v>
      </c>
      <c r="M24" s="2" t="str">
        <f>_xlfn.XLOOKUP(D24,tb_contexto_precio[nombre_contexto],tb_contexto_precio[id_contexto_precio],"No encontrado")</f>
        <v>No encontrado</v>
      </c>
      <c r="N24" s="2" t="str">
        <f>_xlfn.XLOOKUP(E24,tb_tela[nombre_tela],tb_tela[id_tela],"No encontrado")</f>
        <v>No encontrado</v>
      </c>
      <c r="O24" s="2" t="str">
        <f>_xlfn.XLOOKUP(G24,tb_estilo[nombre_estilo],tb_estilo[id_estilo],"No encontrado")</f>
        <v>No encontrado</v>
      </c>
      <c r="P24" s="2" t="str">
        <f>_xlfn.XLOOKUP(H24,tb_talla[talla],tb_talla[id_talla],"No encontrado")</f>
        <v>No encontrado</v>
      </c>
      <c r="Q24" s="2" t="str">
        <f>_xlfn.XLOOKUP(I24,tb_marca[nombre_marca],tb_marca[id_marca],"No encontrado")</f>
        <v>No encontrado</v>
      </c>
      <c r="R24" s="2">
        <f t="shared" si="0"/>
        <v>0</v>
      </c>
      <c r="S24" s="2" t="e">
        <f>_xlfn.XLOOKUP(R24,tb_rango_cantidad[min],tb_rango_cantidad[id_rango],,-1)</f>
        <v>#N/A</v>
      </c>
      <c r="U24" s="16"/>
      <c r="V24" s="7"/>
      <c r="W24" s="12"/>
      <c r="X24" s="12"/>
      <c r="Y24" s="13"/>
      <c r="Z24" s="14"/>
      <c r="AA24" s="18"/>
    </row>
    <row r="25" spans="3:27" x14ac:dyDescent="0.3">
      <c r="C25" s="23"/>
      <c r="D25" s="24"/>
      <c r="E25" s="24"/>
      <c r="F25" s="25"/>
      <c r="G25" s="24"/>
      <c r="H25" s="24"/>
      <c r="I25" s="24"/>
      <c r="J25" s="29"/>
      <c r="L25" s="2" t="str">
        <f>_xlfn.XLOOKUP(C25,tb_prenda[prenda],tb_prenda[id_prenda],"No encontrado")</f>
        <v>No encontrado</v>
      </c>
      <c r="M25" s="2" t="str">
        <f>_xlfn.XLOOKUP(D25,tb_contexto_precio[nombre_contexto],tb_contexto_precio[id_contexto_precio],"No encontrado")</f>
        <v>No encontrado</v>
      </c>
      <c r="N25" s="2" t="str">
        <f>_xlfn.XLOOKUP(E25,tb_tela[nombre_tela],tb_tela[id_tela],"No encontrado")</f>
        <v>No encontrado</v>
      </c>
      <c r="O25" s="2" t="str">
        <f>_xlfn.XLOOKUP(G25,tb_estilo[nombre_estilo],tb_estilo[id_estilo],"No encontrado")</f>
        <v>No encontrado</v>
      </c>
      <c r="P25" s="2" t="str">
        <f>_xlfn.XLOOKUP(H25,tb_talla[talla],tb_talla[id_talla],"No encontrado")</f>
        <v>No encontrado</v>
      </c>
      <c r="Q25" s="2" t="str">
        <f>_xlfn.XLOOKUP(I25,tb_marca[nombre_marca],tb_marca[id_marca],"No encontrado")</f>
        <v>No encontrado</v>
      </c>
      <c r="R25" s="2">
        <f t="shared" si="0"/>
        <v>0</v>
      </c>
      <c r="S25" s="2" t="e">
        <f>_xlfn.XLOOKUP(R25,tb_rango_cantidad[min],tb_rango_cantidad[id_rango],,-1)</f>
        <v>#N/A</v>
      </c>
      <c r="U25" s="16"/>
      <c r="V25" s="7"/>
      <c r="W25" s="12"/>
      <c r="X25" s="12"/>
      <c r="Y25" s="13"/>
      <c r="Z25" s="14"/>
      <c r="AA25" s="18"/>
    </row>
    <row r="26" spans="3:27" x14ac:dyDescent="0.3">
      <c r="C26" s="26"/>
      <c r="D26" s="27"/>
      <c r="E26" s="27"/>
      <c r="F26" s="28"/>
      <c r="G26" s="27"/>
      <c r="H26" s="27"/>
      <c r="I26" s="27"/>
      <c r="J26" s="30"/>
      <c r="L26" s="2" t="str">
        <f>_xlfn.XLOOKUP(C26,tb_prenda[prenda],tb_prenda[id_prenda],"No encontrado")</f>
        <v>No encontrado</v>
      </c>
      <c r="M26" s="2" t="str">
        <f>_xlfn.XLOOKUP(D26,tb_contexto_precio[nombre_contexto],tb_contexto_precio[id_contexto_precio],"No encontrado")</f>
        <v>No encontrado</v>
      </c>
      <c r="N26" s="2" t="str">
        <f>_xlfn.XLOOKUP(E26,tb_tela[nombre_tela],tb_tela[id_tela],"No encontrado")</f>
        <v>No encontrado</v>
      </c>
      <c r="O26" s="2" t="str">
        <f>_xlfn.XLOOKUP(G26,tb_estilo[nombre_estilo],tb_estilo[id_estilo],"No encontrado")</f>
        <v>No encontrado</v>
      </c>
      <c r="P26" s="2" t="str">
        <f>_xlfn.XLOOKUP(H26,tb_talla[talla],tb_talla[id_talla],"No encontrado")</f>
        <v>No encontrado</v>
      </c>
      <c r="Q26" s="2" t="str">
        <f>_xlfn.XLOOKUP(I26,tb_marca[nombre_marca],tb_marca[id_marca],"No encontrado")</f>
        <v>No encontrado</v>
      </c>
      <c r="R26" s="2">
        <f t="shared" si="0"/>
        <v>0</v>
      </c>
      <c r="S26" s="2" t="e">
        <f>_xlfn.XLOOKUP(R26,tb_rango_cantidad[min],tb_rango_cantidad[id_rango],,-1)</f>
        <v>#N/A</v>
      </c>
      <c r="U26" s="16"/>
      <c r="V26" s="7"/>
      <c r="W26" s="12"/>
      <c r="X26" s="12"/>
      <c r="Y26" s="13"/>
      <c r="Z26" s="14"/>
      <c r="AA26" s="18"/>
    </row>
    <row r="27" spans="3:27" x14ac:dyDescent="0.3">
      <c r="C27" s="4"/>
      <c r="D27" s="4"/>
      <c r="E27" s="4"/>
      <c r="F27" s="8"/>
      <c r="G27" s="4"/>
      <c r="H27" s="4"/>
      <c r="I27" s="4"/>
      <c r="J27" s="4"/>
      <c r="K27" s="4"/>
      <c r="L27" s="2"/>
      <c r="M27" s="2"/>
      <c r="N27" s="2"/>
      <c r="O27" s="2"/>
      <c r="P27" s="2"/>
      <c r="Q27" s="2"/>
      <c r="R27" s="2"/>
      <c r="S27" s="2"/>
      <c r="U27" s="16"/>
      <c r="V27" s="17"/>
      <c r="W27" s="17"/>
      <c r="X27" s="17"/>
      <c r="Y27" s="15" t="s">
        <v>17</v>
      </c>
      <c r="Z27" s="22">
        <f>SUM(Z7:Z11)</f>
        <v>161</v>
      </c>
      <c r="AA27" s="18"/>
    </row>
    <row r="28" spans="3:27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U28" s="19"/>
      <c r="V28" s="20"/>
      <c r="W28" s="20"/>
      <c r="X28" s="20"/>
      <c r="Y28" s="20"/>
      <c r="Z28" s="20"/>
      <c r="AA28" s="21"/>
    </row>
    <row r="29" spans="3:27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3:27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3:27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3:27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3:13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3:13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3:13" x14ac:dyDescent="0.3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3:13" x14ac:dyDescent="0.3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</sheetData>
  <mergeCells count="1">
    <mergeCell ref="U4:AA4"/>
  </mergeCells>
  <dataValidations count="98">
    <dataValidation type="list" allowBlank="1" showInputMessage="1" showErrorMessage="1" sqref="D7:D26" xr:uid="{C60C1C11-E929-45BC-86C8-C791C95D0919}">
      <formula1>INDIRECT("tb_contexto_precio[nombre_contexto]")</formula1>
    </dataValidation>
    <dataValidation type="list" allowBlank="1" showInputMessage="1" showErrorMessage="1" sqref="E11" xr:uid="{BB866DB6-6D39-4764-A148-811DC5F09BD3}">
      <formula1>Lista_Telas5</formula1>
    </dataValidation>
    <dataValidation type="list" allowBlank="1" showInputMessage="1" showErrorMessage="1" sqref="F11" xr:uid="{77E292FA-F762-4F00-8AA7-37F84963AF64}">
      <formula1>Lista_Colores5</formula1>
    </dataValidation>
    <dataValidation type="list" allowBlank="1" showInputMessage="1" showErrorMessage="1" sqref="G11" xr:uid="{8C3DF3D6-9111-47FA-993F-52D7D9D4EA73}">
      <formula1>Lista_Estilos5</formula1>
    </dataValidation>
    <dataValidation type="list" allowBlank="1" showInputMessage="1" showErrorMessage="1" sqref="H11" xr:uid="{97A3478E-AC1F-4DA3-9C96-244270AB7687}">
      <formula1>Lista_Tallas5</formula1>
    </dataValidation>
    <dataValidation type="list" allowBlank="1" showInputMessage="1" showErrorMessage="1" sqref="E7" xr:uid="{E94B8483-D4F0-4E48-9A49-D3A2972857E4}">
      <formula1>Lista_Telas1</formula1>
    </dataValidation>
    <dataValidation type="list" allowBlank="1" showInputMessage="1" showErrorMessage="1" sqref="E8:E9" xr:uid="{7E89005A-9064-41FD-B978-95BF5F0EC288}">
      <formula1>Lista_Telas2</formula1>
    </dataValidation>
    <dataValidation type="list" allowBlank="1" showInputMessage="1" showErrorMessage="1" sqref="E10" xr:uid="{6B034BAA-C83E-4AD6-B490-B92C68725F83}">
      <formula1>Lista_Telas4</formula1>
    </dataValidation>
    <dataValidation type="list" allowBlank="1" showInputMessage="1" showErrorMessage="1" sqref="F7" xr:uid="{6886007B-A2EE-4ABA-A394-3AF6ABCE02FB}">
      <formula1>Lista_Colores1</formula1>
    </dataValidation>
    <dataValidation type="list" allowBlank="1" showInputMessage="1" showErrorMessage="1" sqref="F8:F9" xr:uid="{8F1041D4-B574-418A-A776-EF278F36783D}">
      <formula1>Lista_Colores2</formula1>
    </dataValidation>
    <dataValidation type="list" allowBlank="1" showInputMessage="1" showErrorMessage="1" sqref="F10" xr:uid="{6235DB11-E713-4308-B59E-9AA6ECE6B172}">
      <formula1>Lista_Colores4</formula1>
    </dataValidation>
    <dataValidation type="list" allowBlank="1" showInputMessage="1" showErrorMessage="1" sqref="G7" xr:uid="{E0822839-9885-4D9F-AC1D-DE297980CD4A}">
      <formula1>Lista_Estilos1</formula1>
    </dataValidation>
    <dataValidation type="list" allowBlank="1" showInputMessage="1" showErrorMessage="1" sqref="G8:G9" xr:uid="{E3B22898-BF84-4735-A761-FB47F040B9E6}">
      <formula1>Lista_Estilos2</formula1>
    </dataValidation>
    <dataValidation type="list" allowBlank="1" showInputMessage="1" showErrorMessage="1" sqref="G10" xr:uid="{902C2DAB-3FE2-45C3-A24B-A07357E65B93}">
      <formula1>Lista_Estilos4</formula1>
    </dataValidation>
    <dataValidation type="list" allowBlank="1" showInputMessage="1" showErrorMessage="1" sqref="H7" xr:uid="{FE20FE13-5AAB-4429-9862-98B71BCB5313}">
      <formula1>Lista_Tallas1</formula1>
    </dataValidation>
    <dataValidation type="list" allowBlank="1" showInputMessage="1" showErrorMessage="1" sqref="H8:H9" xr:uid="{7AB332EE-1E64-4583-8475-1C4FB3B68895}">
      <formula1>Lista_Tallas2</formula1>
    </dataValidation>
    <dataValidation type="list" allowBlank="1" showInputMessage="1" showErrorMessage="1" sqref="H10" xr:uid="{D9298450-0379-45FA-B5E4-9A2B5024A712}">
      <formula1>Lista_Tallas4</formula1>
    </dataValidation>
    <dataValidation type="list" allowBlank="1" showInputMessage="1" showErrorMessage="1" sqref="I7" xr:uid="{DB06E439-226E-43BF-B9E9-4066969643E3}">
      <formula1>Lista_Marca1</formula1>
    </dataValidation>
    <dataValidation type="list" allowBlank="1" showInputMessage="1" showErrorMessage="1" sqref="I8:I9" xr:uid="{1ECFF1FE-B6AE-40A3-A087-7429AA6F47E4}">
      <formula1>Lista_Marca2</formula1>
    </dataValidation>
    <dataValidation type="list" allowBlank="1" showInputMessage="1" showErrorMessage="1" sqref="I10" xr:uid="{04DAC689-07E4-4C95-9A1F-B96CD01A40DF}">
      <formula1>Lista_Marca4</formula1>
    </dataValidation>
    <dataValidation type="list" allowBlank="1" showInputMessage="1" showErrorMessage="1" sqref="D10 C7:C26" xr:uid="{EC67C0DE-C81D-422B-AF83-5D87C17232D1}">
      <formula1>INDIRECT("tb_prenda[prenda]")</formula1>
    </dataValidation>
    <dataValidation type="list" allowBlank="1" showInputMessage="1" showErrorMessage="1" sqref="I11" xr:uid="{9E4F08F4-8DD7-4C55-8D9F-3BAA249CF587}">
      <formula1>Lista_Marca5</formula1>
    </dataValidation>
    <dataValidation allowBlank="1" showInputMessage="1" showErrorMessage="1" sqref="J12" xr:uid="{AF57DD74-5C4C-4189-A624-FC54B946C057}"/>
    <dataValidation type="list" allowBlank="1" showInputMessage="1" showErrorMessage="1" sqref="E12" xr:uid="{EA93CD7D-0678-4CCA-8708-8B1ADD7C2DE3}">
      <formula1>Lista_Telas6</formula1>
    </dataValidation>
    <dataValidation type="list" allowBlank="1" showInputMessage="1" showErrorMessage="1" sqref="F12" xr:uid="{CE7BCBE1-3E8F-4C24-B327-029B74FFE0D9}">
      <formula1>Lista_Colores6</formula1>
    </dataValidation>
    <dataValidation type="list" allowBlank="1" showInputMessage="1" showErrorMessage="1" sqref="G12" xr:uid="{4F6D3554-3671-4C72-99FB-6E88AFE19CCD}">
      <formula1>Lista_Estilos6</formula1>
    </dataValidation>
    <dataValidation type="list" allowBlank="1" showInputMessage="1" showErrorMessage="1" sqref="H12" xr:uid="{6450E216-BF00-4FD9-A04C-83E9E43866DF}">
      <formula1>Lista_Tallas6</formula1>
    </dataValidation>
    <dataValidation type="list" allowBlank="1" showInputMessage="1" showErrorMessage="1" sqref="I12" xr:uid="{8B226BD1-8916-473C-A6CC-F5C53C0C6003}">
      <formula1>Lista_Marca6</formula1>
    </dataValidation>
    <dataValidation type="list" allowBlank="1" showInputMessage="1" showErrorMessage="1" sqref="E13" xr:uid="{5DD7BDD7-EBF7-4798-A99A-7E6B75EAB533}">
      <formula1>Lista_Telas7</formula1>
    </dataValidation>
    <dataValidation type="list" allowBlank="1" showInputMessage="1" showErrorMessage="1" sqref="F13" xr:uid="{7ED6B563-B436-4CA1-A2CE-99E073372ED0}">
      <formula1>Lista_Colores7</formula1>
    </dataValidation>
    <dataValidation type="list" allowBlank="1" showInputMessage="1" showErrorMessage="1" sqref="G13" xr:uid="{992E870C-CE7C-4B2D-B0A6-C1325A410713}">
      <formula1>Lista_Estilos7</formula1>
    </dataValidation>
    <dataValidation type="list" allowBlank="1" showInputMessage="1" showErrorMessage="1" sqref="H13" xr:uid="{71FDFB5F-3891-4F85-BD4E-8465428472B1}">
      <formula1>Lista_Tallas7</formula1>
    </dataValidation>
    <dataValidation type="list" allowBlank="1" showInputMessage="1" showErrorMessage="1" sqref="I13" xr:uid="{EC95ED1C-7B88-441F-8C6C-649375D708B0}">
      <formula1>Lista_Marca7</formula1>
    </dataValidation>
    <dataValidation type="list" allowBlank="1" showInputMessage="1" showErrorMessage="1" sqref="E14" xr:uid="{E8EEBADA-C910-4ED1-993F-3E61946F0908}">
      <formula1>Lista_Telas8</formula1>
    </dataValidation>
    <dataValidation type="list" allowBlank="1" showInputMessage="1" showErrorMessage="1" sqref="E15" xr:uid="{CBCBEB74-FEF9-4C19-B7E3-BC263799E626}">
      <formula1>Lista_Telas9</formula1>
    </dataValidation>
    <dataValidation type="list" allowBlank="1" showInputMessage="1" showErrorMessage="1" sqref="E16" xr:uid="{B78E9604-1E2A-4A34-8592-8A1E25EC9921}">
      <formula1>Lista_Telas10</formula1>
    </dataValidation>
    <dataValidation type="list" allowBlank="1" showInputMessage="1" showErrorMessage="1" sqref="E17" xr:uid="{EDD042BF-753E-4664-AB0E-17AFF0411D5C}">
      <formula1>Lista_Telas11</formula1>
    </dataValidation>
    <dataValidation type="list" allowBlank="1" showInputMessage="1" showErrorMessage="1" sqref="E18" xr:uid="{6BB89082-F720-448A-88F8-F71B86F980DA}">
      <formula1>Lista_Telas12</formula1>
    </dataValidation>
    <dataValidation type="list" allowBlank="1" showInputMessage="1" showErrorMessage="1" sqref="E19" xr:uid="{378D8559-1922-403F-8E4F-98A0B240493A}">
      <formula1>Lista_Telas13</formula1>
    </dataValidation>
    <dataValidation type="list" allowBlank="1" showInputMessage="1" showErrorMessage="1" sqref="E20" xr:uid="{2499464A-ADD6-489F-A8EA-718491B2F542}">
      <formula1>Lista_Telas14</formula1>
    </dataValidation>
    <dataValidation type="list" allowBlank="1" showInputMessage="1" showErrorMessage="1" sqref="E21" xr:uid="{81CE1A13-54CE-4F69-957B-3F1A712AFB23}">
      <formula1>Lista_Telas15</formula1>
    </dataValidation>
    <dataValidation type="list" allowBlank="1" showInputMessage="1" showErrorMessage="1" sqref="E22" xr:uid="{3EE2281B-EB6D-4408-A125-3B2027E49AC5}">
      <formula1>Lista_Telas16</formula1>
    </dataValidation>
    <dataValidation type="list" allowBlank="1" showInputMessage="1" showErrorMessage="1" sqref="E23" xr:uid="{EB493914-55CB-4600-B3BF-525276D770D8}">
      <formula1>Lista_Telas17</formula1>
    </dataValidation>
    <dataValidation type="list" allowBlank="1" showInputMessage="1" showErrorMessage="1" sqref="E24" xr:uid="{0F582000-69BE-4280-9EB9-027A79DF5EBB}">
      <formula1>Lista_Telas18</formula1>
    </dataValidation>
    <dataValidation type="list" allowBlank="1" showInputMessage="1" showErrorMessage="1" sqref="E25" xr:uid="{539F0B70-136D-4E8C-8A3B-B1C44B0E6E62}">
      <formula1>Lista_Telas19</formula1>
    </dataValidation>
    <dataValidation type="list" allowBlank="1" showInputMessage="1" showErrorMessage="1" sqref="E26" xr:uid="{7924A793-8C9F-4F82-A542-DBAF8E808C18}">
      <formula1>Lista_Telas20</formula1>
    </dataValidation>
    <dataValidation type="list" allowBlank="1" showInputMessage="1" showErrorMessage="1" sqref="F14" xr:uid="{A83EF664-E6EF-4FF8-AB9E-4FBF52E847F6}">
      <formula1>Lista_Colores8</formula1>
    </dataValidation>
    <dataValidation type="list" allowBlank="1" showInputMessage="1" showErrorMessage="1" sqref="F15" xr:uid="{AD2CCFBA-8E9D-4CD5-BDDD-4DB40C5BAA0F}">
      <formula1>Lista_Colores9</formula1>
    </dataValidation>
    <dataValidation type="list" allowBlank="1" showInputMessage="1" showErrorMessage="1" sqref="F16" xr:uid="{54B9747E-A8FE-4C56-90B6-CA17789F17E5}">
      <formula1>Lista_Colores10</formula1>
    </dataValidation>
    <dataValidation type="list" allowBlank="1" showInputMessage="1" showErrorMessage="1" sqref="F17" xr:uid="{DFC42E22-6E7A-4D10-92E3-3B4884C382A7}">
      <formula1>Lista_Colores11</formula1>
    </dataValidation>
    <dataValidation type="list" allowBlank="1" showInputMessage="1" showErrorMessage="1" sqref="F18" xr:uid="{C97FAAF5-A113-4ED3-9B59-7D1052355E43}">
      <formula1>Lista_Colores12</formula1>
    </dataValidation>
    <dataValidation type="list" allowBlank="1" showInputMessage="1" showErrorMessage="1" sqref="F19" xr:uid="{AC1D1BC4-23B6-4A76-AFAF-8BF0F5494B3B}">
      <formula1>Lista_Colores13</formula1>
    </dataValidation>
    <dataValidation type="list" allowBlank="1" showInputMessage="1" showErrorMessage="1" sqref="F20" xr:uid="{A0BF5F7A-9A0F-47CB-9386-FA13CDB06EBA}">
      <formula1>Lista_Colores14</formula1>
    </dataValidation>
    <dataValidation type="list" allowBlank="1" showInputMessage="1" showErrorMessage="1" sqref="F21" xr:uid="{98BF22D9-FC12-49D3-BE05-0817A6E6C24C}">
      <formula1>Lista_Colores15</formula1>
    </dataValidation>
    <dataValidation type="list" allowBlank="1" showInputMessage="1" showErrorMessage="1" sqref="F22" xr:uid="{49C8AC4A-71F5-4E5B-ADBE-E2C8EFE3EA53}">
      <formula1>Lista_Colores16</formula1>
    </dataValidation>
    <dataValidation type="list" allowBlank="1" showInputMessage="1" showErrorMessage="1" sqref="F23" xr:uid="{0D683BD6-14A6-496E-BB0D-4CCD79C66AB4}">
      <formula1>Lista_Colores17</formula1>
    </dataValidation>
    <dataValidation type="list" allowBlank="1" showInputMessage="1" showErrorMessage="1" sqref="F24" xr:uid="{3CE23BFA-A03B-4947-8CF5-C5FC8057EBD7}">
      <formula1>Lista_Colores18</formula1>
    </dataValidation>
    <dataValidation type="list" allowBlank="1" showInputMessage="1" showErrorMessage="1" sqref="F25" xr:uid="{2F3B7663-4A60-4381-80D5-2C42FA4AEB91}">
      <formula1>Lista_Colores19</formula1>
    </dataValidation>
    <dataValidation type="list" allowBlank="1" showInputMessage="1" showErrorMessage="1" sqref="F26" xr:uid="{C3C45DF6-79BD-43E0-A2AB-175E50B0FC0C}">
      <formula1>Lista_Colores20</formula1>
    </dataValidation>
    <dataValidation type="list" allowBlank="1" showInputMessage="1" showErrorMessage="1" sqref="G14" xr:uid="{DD6ED6D1-9565-44F0-A648-41B6208829F1}">
      <formula1>Lista_Estilos8</formula1>
    </dataValidation>
    <dataValidation type="list" allowBlank="1" showInputMessage="1" showErrorMessage="1" sqref="G15" xr:uid="{702AAAFE-77BC-4D12-9389-F88F38CE95B0}">
      <formula1>Lista_Estilos9</formula1>
    </dataValidation>
    <dataValidation type="list" allowBlank="1" showInputMessage="1" showErrorMessage="1" sqref="G16" xr:uid="{CE2EAAE3-0EAC-41BC-9CA4-0C6FD673850D}">
      <formula1>Lista_Estilos10</formula1>
    </dataValidation>
    <dataValidation type="list" allowBlank="1" showInputMessage="1" showErrorMessage="1" sqref="G17" xr:uid="{1A5DF6AA-FBD0-4F3C-88A1-4B9FDBD088A6}">
      <formula1>Lista_Estilos11</formula1>
    </dataValidation>
    <dataValidation type="list" allowBlank="1" showInputMessage="1" showErrorMessage="1" sqref="G18" xr:uid="{837C890E-7AB9-4E36-8779-83998E9B0FEB}">
      <formula1>Lista_Estilos12</formula1>
    </dataValidation>
    <dataValidation type="list" allowBlank="1" showInputMessage="1" showErrorMessage="1" sqref="G19" xr:uid="{175A72EE-3FC5-4220-BB72-9555A7174778}">
      <formula1>Lista_Estilos13</formula1>
    </dataValidation>
    <dataValidation type="list" allowBlank="1" showInputMessage="1" showErrorMessage="1" sqref="G20" xr:uid="{1699A5B0-8BB3-46BD-98D3-8EC1D93433DA}">
      <formula1>Lista_Estilos14</formula1>
    </dataValidation>
    <dataValidation type="list" allowBlank="1" showInputMessage="1" showErrorMessage="1" sqref="G21" xr:uid="{ADDA8F8E-951A-452C-93DF-21A77292DE63}">
      <formula1>Lista_Estilos15</formula1>
    </dataValidation>
    <dataValidation type="list" allowBlank="1" showInputMessage="1" showErrorMessage="1" sqref="G22" xr:uid="{A1B197BB-1713-446B-9E75-51DF671CF9D1}">
      <formula1>Lista_Estilos16</formula1>
    </dataValidation>
    <dataValidation type="list" allowBlank="1" showInputMessage="1" showErrorMessage="1" sqref="G23" xr:uid="{0F17F5D3-9C26-473B-A9D6-C058606A1DCA}">
      <formula1>Lista_Estilos17</formula1>
    </dataValidation>
    <dataValidation type="list" allowBlank="1" showInputMessage="1" showErrorMessage="1" sqref="G24" xr:uid="{6ABC4564-BF95-484D-B6FB-C5D262B09211}">
      <formula1>Lista_Estilos18</formula1>
    </dataValidation>
    <dataValidation type="list" allowBlank="1" showInputMessage="1" showErrorMessage="1" sqref="G25" xr:uid="{40011030-AC8D-43EA-A41A-A713CAD84986}">
      <formula1>Lista_Estilos19</formula1>
    </dataValidation>
    <dataValidation type="list" allowBlank="1" showInputMessage="1" showErrorMessage="1" sqref="G26" xr:uid="{EBD88A12-53B5-48D6-9826-242D16D3C55F}">
      <formula1>Lista_Estilos20</formula1>
    </dataValidation>
    <dataValidation type="list" allowBlank="1" showInputMessage="1" showErrorMessage="1" sqref="H14" xr:uid="{D4B0E64E-2879-4B9B-85EB-098AD04D6B77}">
      <formula1>Lista_Tallas8</formula1>
    </dataValidation>
    <dataValidation type="list" allowBlank="1" showInputMessage="1" showErrorMessage="1" sqref="H15" xr:uid="{32B24EDF-76C2-41F9-8C20-724AAE55EB14}">
      <formula1>Lista_Tallas9</formula1>
    </dataValidation>
    <dataValidation type="list" allowBlank="1" showInputMessage="1" showErrorMessage="1" sqref="H16" xr:uid="{A1407DF6-55E6-4E64-8ABC-E3B6E378A470}">
      <formula1>Lista_Tallas10</formula1>
    </dataValidation>
    <dataValidation type="list" allowBlank="1" showInputMessage="1" showErrorMessage="1" sqref="H17" xr:uid="{A97152F6-061D-4567-8A97-057EEAB096AD}">
      <formula1>Lista_Tallas11</formula1>
    </dataValidation>
    <dataValidation type="list" allowBlank="1" showInputMessage="1" showErrorMessage="1" sqref="H18" xr:uid="{574D9286-312D-432E-AE00-ECF84B446A93}">
      <formula1>Lista_Tallas12</formula1>
    </dataValidation>
    <dataValidation type="list" allowBlank="1" showInputMessage="1" showErrorMessage="1" sqref="H19" xr:uid="{3AF9E7A5-1B35-4905-ACB9-8ADBF40B2DDB}">
      <formula1>Lista_Tallas13</formula1>
    </dataValidation>
    <dataValidation type="list" allowBlank="1" showInputMessage="1" showErrorMessage="1" sqref="H20" xr:uid="{4731E251-D795-4B55-8B06-C075875F7863}">
      <formula1>Lista_Tallas14</formula1>
    </dataValidation>
    <dataValidation type="list" allowBlank="1" showInputMessage="1" showErrorMessage="1" sqref="H21" xr:uid="{4B568C1C-3FCD-4A6B-B8FB-B6E97650CA91}">
      <formula1>Lista_Tallas15</formula1>
    </dataValidation>
    <dataValidation type="list" allowBlank="1" showInputMessage="1" showErrorMessage="1" sqref="H22" xr:uid="{C71CABB0-E10B-4903-88C1-69EBAF5BCC4D}">
      <formula1>Lista_Tallas16</formula1>
    </dataValidation>
    <dataValidation type="list" allowBlank="1" showInputMessage="1" showErrorMessage="1" sqref="H23" xr:uid="{139A5DB3-E900-4915-B19B-7907C91DA908}">
      <formula1>Lista_Tallas17</formula1>
    </dataValidation>
    <dataValidation type="list" allowBlank="1" showInputMessage="1" showErrorMessage="1" sqref="H24" xr:uid="{B7C5C1B5-6729-43AB-B473-8DA4A6E90F38}">
      <formula1>Lista_Tallas18</formula1>
    </dataValidation>
    <dataValidation type="list" allowBlank="1" showInputMessage="1" showErrorMessage="1" sqref="H25" xr:uid="{9DF01DB1-04B4-47ED-815D-30A501E1D63C}">
      <formula1>Lista_Tallas19</formula1>
    </dataValidation>
    <dataValidation type="list" allowBlank="1" showInputMessage="1" showErrorMessage="1" sqref="H26" xr:uid="{EB47D6FF-F227-466F-9119-0A3539B67311}">
      <formula1>Lista_Tallas20</formula1>
    </dataValidation>
    <dataValidation type="list" allowBlank="1" showInputMessage="1" showErrorMessage="1" sqref="I14" xr:uid="{8C4E0AA3-2630-4517-98DB-7127045881BA}">
      <formula1>Lista_Marca8</formula1>
    </dataValidation>
    <dataValidation type="list" allowBlank="1" showInputMessage="1" showErrorMessage="1" sqref="I15" xr:uid="{7CC5E03F-0FCF-4A0A-8F4D-347EC86AF8CD}">
      <formula1>Lista_Marca9</formula1>
    </dataValidation>
    <dataValidation type="list" allowBlank="1" showInputMessage="1" showErrorMessage="1" sqref="I16" xr:uid="{46993F6A-0A75-4F2C-9DAA-2F2AE4CF48E1}">
      <formula1>Lista_Marca10</formula1>
    </dataValidation>
    <dataValidation type="list" allowBlank="1" showInputMessage="1" showErrorMessage="1" sqref="I17" xr:uid="{83174661-0447-4881-88CA-DD281D8E26B8}">
      <formula1>Lista_Marca11</formula1>
    </dataValidation>
    <dataValidation type="list" allowBlank="1" showInputMessage="1" showErrorMessage="1" sqref="I18" xr:uid="{70AE6A99-863D-4593-A978-F1EBA12A5703}">
      <formula1>Lista_Marca12</formula1>
    </dataValidation>
    <dataValidation type="list" allowBlank="1" showInputMessage="1" showErrorMessage="1" sqref="I19" xr:uid="{C154373D-C9E8-4F5D-BB6F-0125B135568C}">
      <formula1>Lista_Marca13</formula1>
    </dataValidation>
    <dataValidation type="list" allowBlank="1" showInputMessage="1" showErrorMessage="1" sqref="I20" xr:uid="{33038CFA-4A0A-4812-A3AA-C3A9EC3FED25}">
      <formula1>Lista_Marca14</formula1>
    </dataValidation>
    <dataValidation type="list" allowBlank="1" showInputMessage="1" showErrorMessage="1" sqref="I21" xr:uid="{096DD1B5-AC90-457F-A1DD-CF14613ABC3F}">
      <formula1>Lista_Marca15</formula1>
    </dataValidation>
    <dataValidation type="list" allowBlank="1" showInputMessage="1" showErrorMessage="1" sqref="I22" xr:uid="{A01A8736-83F7-4E82-AB1B-31A9D671F631}">
      <formula1>Lista_Marca16</formula1>
    </dataValidation>
    <dataValidation type="list" allowBlank="1" showInputMessage="1" showErrorMessage="1" sqref="I23" xr:uid="{02021D3C-CBBE-4E43-BB2A-D47E2C991B43}">
      <formula1>Lista_Marca17</formula1>
    </dataValidation>
    <dataValidation type="list" allowBlank="1" showInputMessage="1" showErrorMessage="1" sqref="I24" xr:uid="{0C15B123-A977-4481-BFDA-5D3728452C8C}">
      <formula1>Lista_Marca18</formula1>
    </dataValidation>
    <dataValidation type="list" allowBlank="1" showInputMessage="1" showErrorMessage="1" sqref="I25" xr:uid="{48F25E4B-AE59-4535-89F3-02095498DA3E}">
      <formula1>Lista_Marca19</formula1>
    </dataValidation>
    <dataValidation type="list" allowBlank="1" showInputMessage="1" showErrorMessage="1" sqref="I26" xr:uid="{EF0627C1-336C-47CA-9C92-BE3D69344755}">
      <formula1>Lista_Marca20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Rango</vt:lpstr>
      <vt:lpstr>Talla-Prenda</vt:lpstr>
      <vt:lpstr>Tela-Color</vt:lpstr>
      <vt:lpstr>Estilo-Talla</vt:lpstr>
      <vt:lpstr>Tela-Prenda</vt:lpstr>
      <vt:lpstr>Precios-Polos</vt:lpstr>
      <vt:lpstr>Precio-Poleras</vt:lpstr>
      <vt:lpstr>Precio-Boxers</vt:lpstr>
      <vt:lpstr>Precio-Bodys</vt:lpstr>
      <vt:lpstr>Prenda</vt:lpstr>
      <vt:lpstr>Contexto</vt:lpstr>
      <vt:lpstr>Color</vt:lpstr>
      <vt:lpstr>Talla</vt:lpstr>
      <vt:lpstr>Tela</vt:lpstr>
      <vt:lpstr>Estilo</vt:lpstr>
      <vt:lpstr>Marca</vt:lpstr>
      <vt:lpstr>Aux</vt:lpstr>
      <vt:lpstr>Cotizador</vt:lpstr>
    </vt:vector>
  </TitlesOfParts>
  <Manager/>
  <Company>Conocimiento Adictivo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MIGUEL</cp:lastModifiedBy>
  <cp:revision/>
  <dcterms:created xsi:type="dcterms:W3CDTF">2025-12-21T21:45:47Z</dcterms:created>
  <dcterms:modified xsi:type="dcterms:W3CDTF">2026-04-11T21:25:18Z</dcterms:modified>
  <cp:category/>
  <cp:contentStatus/>
</cp:coreProperties>
</file>